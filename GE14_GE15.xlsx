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88410bb7db32e5/Personal Vault-FrankieJr153/Dokumen/1-UKM/UKM SEM 4/2-Data Management/Final_Report/"/>
    </mc:Choice>
  </mc:AlternateContent>
  <xr:revisionPtr revIDLastSave="1068" documentId="8_{505273D8-78F3-4019-ABCD-CE1412B2A37C}" xr6:coauthVersionLast="47" xr6:coauthVersionMax="47" xr10:uidLastSave="{CA760F01-BCEA-422F-A04F-B8A2136BA14A}"/>
  <bookViews>
    <workbookView xWindow="-110" yWindow="-110" windowWidth="25820" windowHeight="15500" xr2:uid="{D229E569-CDE6-4F7B-864D-35441666A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X3" i="1" l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2" i="1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2" i="1"/>
  <c r="CP192" i="1"/>
  <c r="CN192" i="1"/>
  <c r="CJ192" i="1"/>
  <c r="J192" i="1"/>
  <c r="CP191" i="1"/>
  <c r="CN191" i="1"/>
  <c r="CJ191" i="1"/>
  <c r="CP190" i="1"/>
  <c r="CN190" i="1"/>
  <c r="CJ190" i="1"/>
  <c r="CP189" i="1"/>
  <c r="CN189" i="1"/>
  <c r="CJ189" i="1"/>
  <c r="CP188" i="1"/>
  <c r="CN188" i="1"/>
  <c r="CJ188" i="1"/>
  <c r="J188" i="1"/>
  <c r="CP187" i="1"/>
  <c r="CN187" i="1"/>
  <c r="CJ187" i="1"/>
  <c r="J187" i="1"/>
  <c r="CP186" i="1"/>
  <c r="CN186" i="1"/>
  <c r="CJ186" i="1"/>
  <c r="CP185" i="1"/>
  <c r="CN185" i="1"/>
  <c r="CJ185" i="1"/>
  <c r="J185" i="1"/>
  <c r="CP184" i="1"/>
  <c r="CN184" i="1"/>
  <c r="CJ184" i="1"/>
  <c r="J184" i="1"/>
  <c r="CP183" i="1"/>
  <c r="CN183" i="1"/>
  <c r="CJ183" i="1"/>
  <c r="J183" i="1"/>
  <c r="CP182" i="1"/>
  <c r="CN182" i="1"/>
  <c r="CJ182" i="1"/>
  <c r="CP181" i="1"/>
  <c r="CN181" i="1"/>
  <c r="CJ181" i="1"/>
  <c r="CP180" i="1"/>
  <c r="CN180" i="1"/>
  <c r="CJ180" i="1"/>
  <c r="CP179" i="1"/>
  <c r="CN179" i="1"/>
  <c r="CJ179" i="1"/>
  <c r="CP178" i="1"/>
  <c r="CN178" i="1"/>
  <c r="CJ178" i="1"/>
  <c r="J178" i="1"/>
  <c r="CP177" i="1"/>
  <c r="CN177" i="1"/>
  <c r="CJ177" i="1"/>
  <c r="J177" i="1"/>
  <c r="CP176" i="1"/>
  <c r="CN176" i="1"/>
  <c r="CJ176" i="1"/>
  <c r="CP175" i="1"/>
  <c r="CN175" i="1"/>
  <c r="CJ175" i="1"/>
  <c r="J175" i="1"/>
  <c r="CP174" i="1"/>
  <c r="CN174" i="1"/>
  <c r="CJ174" i="1"/>
  <c r="J174" i="1"/>
  <c r="CP173" i="1"/>
  <c r="CN173" i="1"/>
  <c r="CJ173" i="1"/>
  <c r="J173" i="1"/>
  <c r="CP172" i="1"/>
  <c r="CN172" i="1"/>
  <c r="CJ172" i="1"/>
  <c r="J172" i="1"/>
  <c r="CP171" i="1"/>
  <c r="CN171" i="1"/>
  <c r="CJ171" i="1"/>
  <c r="CP170" i="1"/>
  <c r="CN170" i="1"/>
  <c r="CJ170" i="1"/>
  <c r="CP169" i="1"/>
  <c r="CN169" i="1"/>
  <c r="CJ169" i="1"/>
  <c r="CP168" i="1"/>
  <c r="CN168" i="1"/>
  <c r="CJ168" i="1"/>
  <c r="CP167" i="1"/>
  <c r="CN167" i="1"/>
  <c r="CJ167" i="1"/>
  <c r="BN167" i="1"/>
  <c r="BI167" i="1"/>
  <c r="BG167" i="1"/>
  <c r="BE167" i="1"/>
  <c r="J167" i="1"/>
  <c r="CP166" i="1"/>
  <c r="CN166" i="1"/>
  <c r="CJ166" i="1"/>
  <c r="BN166" i="1"/>
  <c r="BI166" i="1"/>
  <c r="BG166" i="1"/>
  <c r="BE166" i="1"/>
  <c r="J166" i="1"/>
  <c r="CP165" i="1"/>
  <c r="CN165" i="1"/>
  <c r="CJ165" i="1"/>
  <c r="BN165" i="1"/>
  <c r="BI165" i="1"/>
  <c r="BG165" i="1"/>
  <c r="BE165" i="1"/>
  <c r="J165" i="1"/>
  <c r="CP164" i="1"/>
  <c r="CN164" i="1"/>
  <c r="CJ164" i="1"/>
  <c r="BN164" i="1"/>
  <c r="BI164" i="1"/>
  <c r="BG164" i="1"/>
  <c r="BE164" i="1"/>
  <c r="J164" i="1"/>
  <c r="CP163" i="1"/>
  <c r="CN163" i="1"/>
  <c r="CJ163" i="1"/>
  <c r="BN163" i="1"/>
  <c r="BI163" i="1"/>
  <c r="BG163" i="1"/>
  <c r="BE163" i="1"/>
  <c r="J163" i="1"/>
  <c r="CP162" i="1"/>
  <c r="CN162" i="1"/>
  <c r="CJ162" i="1"/>
  <c r="BN162" i="1"/>
  <c r="BI162" i="1"/>
  <c r="BG162" i="1"/>
  <c r="BE162" i="1"/>
  <c r="J162" i="1"/>
  <c r="CP161" i="1"/>
  <c r="CN161" i="1"/>
  <c r="CJ161" i="1"/>
  <c r="BN161" i="1"/>
  <c r="BI161" i="1"/>
  <c r="BG161" i="1"/>
  <c r="BE161" i="1"/>
  <c r="J161" i="1"/>
  <c r="CP160" i="1"/>
  <c r="CN160" i="1"/>
  <c r="CJ160" i="1"/>
  <c r="BN160" i="1"/>
  <c r="BI160" i="1"/>
  <c r="BG160" i="1"/>
  <c r="BE160" i="1"/>
  <c r="J160" i="1"/>
  <c r="CP159" i="1"/>
  <c r="CN159" i="1"/>
  <c r="CJ159" i="1"/>
  <c r="BN159" i="1"/>
  <c r="BI159" i="1"/>
  <c r="BG159" i="1"/>
  <c r="BE159" i="1"/>
  <c r="J159" i="1"/>
  <c r="CP158" i="1"/>
  <c r="CN158" i="1"/>
  <c r="CJ158" i="1"/>
  <c r="BN158" i="1"/>
  <c r="BI158" i="1"/>
  <c r="BG158" i="1"/>
  <c r="BE158" i="1"/>
  <c r="J158" i="1"/>
  <c r="CP157" i="1"/>
  <c r="CN157" i="1"/>
  <c r="CJ157" i="1"/>
  <c r="BN157" i="1"/>
  <c r="BI157" i="1"/>
  <c r="BG157" i="1"/>
  <c r="BE157" i="1"/>
  <c r="J157" i="1"/>
  <c r="CP156" i="1"/>
  <c r="CN156" i="1"/>
  <c r="CJ156" i="1"/>
  <c r="BN156" i="1"/>
  <c r="BI156" i="1"/>
  <c r="BG156" i="1"/>
  <c r="BE156" i="1"/>
  <c r="J156" i="1"/>
  <c r="CP155" i="1"/>
  <c r="CN155" i="1"/>
  <c r="CJ155" i="1"/>
  <c r="BN155" i="1"/>
  <c r="BI155" i="1"/>
  <c r="BG155" i="1"/>
  <c r="BE155" i="1"/>
  <c r="J155" i="1"/>
  <c r="CP154" i="1"/>
  <c r="CN154" i="1"/>
  <c r="CJ154" i="1"/>
  <c r="BN154" i="1"/>
  <c r="BI154" i="1"/>
  <c r="BG154" i="1"/>
  <c r="BE154" i="1"/>
  <c r="J154" i="1"/>
  <c r="CP153" i="1"/>
  <c r="CN153" i="1"/>
  <c r="CJ153" i="1"/>
  <c r="BN153" i="1"/>
  <c r="BI153" i="1"/>
  <c r="BG153" i="1"/>
  <c r="BE153" i="1"/>
  <c r="J153" i="1"/>
  <c r="CP152" i="1"/>
  <c r="CN152" i="1"/>
  <c r="CJ152" i="1"/>
  <c r="BN152" i="1"/>
  <c r="BI152" i="1"/>
  <c r="BG152" i="1"/>
  <c r="BE152" i="1"/>
  <c r="J152" i="1"/>
  <c r="CP151" i="1"/>
  <c r="CN151" i="1"/>
  <c r="CJ151" i="1"/>
  <c r="BN151" i="1"/>
  <c r="BI151" i="1"/>
  <c r="BG151" i="1"/>
  <c r="BE151" i="1"/>
  <c r="J151" i="1"/>
  <c r="CP150" i="1"/>
  <c r="CN150" i="1"/>
  <c r="CJ150" i="1"/>
  <c r="BN150" i="1"/>
  <c r="BI150" i="1"/>
  <c r="BG150" i="1"/>
  <c r="BE150" i="1"/>
  <c r="J150" i="1"/>
  <c r="CP149" i="1"/>
  <c r="CN149" i="1"/>
  <c r="CJ149" i="1"/>
  <c r="BN149" i="1"/>
  <c r="BI149" i="1"/>
  <c r="BG149" i="1"/>
  <c r="BE149" i="1"/>
  <c r="J149" i="1"/>
  <c r="CP148" i="1"/>
  <c r="CN148" i="1"/>
  <c r="CJ148" i="1"/>
  <c r="BN148" i="1"/>
  <c r="BI148" i="1"/>
  <c r="BG148" i="1"/>
  <c r="BE148" i="1"/>
  <c r="J148" i="1"/>
  <c r="CP147" i="1"/>
  <c r="CN147" i="1"/>
  <c r="CJ147" i="1"/>
  <c r="BN147" i="1"/>
  <c r="BI147" i="1"/>
  <c r="BG147" i="1"/>
  <c r="BE147" i="1"/>
  <c r="CP146" i="1"/>
  <c r="CN146" i="1"/>
  <c r="CJ146" i="1"/>
  <c r="BN146" i="1"/>
  <c r="BI146" i="1"/>
  <c r="BG146" i="1"/>
  <c r="BE146" i="1"/>
  <c r="J146" i="1"/>
  <c r="CP145" i="1"/>
  <c r="CN145" i="1"/>
  <c r="CJ145" i="1"/>
  <c r="BN145" i="1"/>
  <c r="BI145" i="1"/>
  <c r="BG145" i="1"/>
  <c r="BE145" i="1"/>
  <c r="J145" i="1"/>
  <c r="CP144" i="1"/>
  <c r="CN144" i="1"/>
  <c r="CJ144" i="1"/>
  <c r="BN144" i="1"/>
  <c r="BI144" i="1"/>
  <c r="BG144" i="1"/>
  <c r="BE144" i="1"/>
  <c r="J144" i="1"/>
  <c r="CP143" i="1"/>
  <c r="CN143" i="1"/>
  <c r="CJ143" i="1"/>
  <c r="BN143" i="1"/>
  <c r="BI143" i="1"/>
  <c r="BG143" i="1"/>
  <c r="BE143" i="1"/>
  <c r="J143" i="1"/>
  <c r="CP142" i="1"/>
  <c r="CN142" i="1"/>
  <c r="CJ142" i="1"/>
  <c r="BN142" i="1"/>
  <c r="BI142" i="1"/>
  <c r="BG142" i="1"/>
  <c r="BE142" i="1"/>
  <c r="J142" i="1"/>
  <c r="CP141" i="1"/>
  <c r="CN141" i="1"/>
  <c r="CJ141" i="1"/>
  <c r="BN141" i="1"/>
  <c r="BI141" i="1"/>
  <c r="BG141" i="1"/>
  <c r="BE141" i="1"/>
  <c r="J141" i="1"/>
  <c r="CP140" i="1"/>
  <c r="CN140" i="1"/>
  <c r="CJ140" i="1"/>
  <c r="BN140" i="1"/>
  <c r="BI140" i="1"/>
  <c r="BG140" i="1"/>
  <c r="BE140" i="1"/>
  <c r="J140" i="1"/>
  <c r="CP139" i="1"/>
  <c r="CN139" i="1"/>
  <c r="CJ139" i="1"/>
  <c r="BN139" i="1"/>
  <c r="BI139" i="1"/>
  <c r="BG139" i="1"/>
  <c r="BE139" i="1"/>
  <c r="J139" i="1"/>
  <c r="CP138" i="1"/>
  <c r="CN138" i="1"/>
  <c r="CJ138" i="1"/>
  <c r="BN138" i="1"/>
  <c r="BI138" i="1"/>
  <c r="BG138" i="1"/>
  <c r="BE138" i="1"/>
  <c r="J138" i="1"/>
  <c r="CP137" i="1"/>
  <c r="CN137" i="1"/>
  <c r="CJ137" i="1"/>
  <c r="BN137" i="1"/>
  <c r="BI137" i="1"/>
  <c r="BG137" i="1"/>
  <c r="BE137" i="1"/>
  <c r="J137" i="1"/>
  <c r="CP136" i="1"/>
  <c r="CN136" i="1"/>
  <c r="CJ136" i="1"/>
  <c r="BN136" i="1"/>
  <c r="BI136" i="1"/>
  <c r="BG136" i="1"/>
  <c r="BE136" i="1"/>
  <c r="J136" i="1"/>
  <c r="CP135" i="1"/>
  <c r="CN135" i="1"/>
  <c r="CJ135" i="1"/>
  <c r="BN135" i="1"/>
  <c r="BI135" i="1"/>
  <c r="BG135" i="1"/>
  <c r="BE135" i="1"/>
  <c r="J135" i="1"/>
  <c r="CP134" i="1"/>
  <c r="CN134" i="1"/>
  <c r="CJ134" i="1"/>
  <c r="BN134" i="1"/>
  <c r="BI134" i="1"/>
  <c r="BG134" i="1"/>
  <c r="BE134" i="1"/>
  <c r="J134" i="1"/>
  <c r="CP133" i="1"/>
  <c r="CN133" i="1"/>
  <c r="CJ133" i="1"/>
  <c r="BN133" i="1"/>
  <c r="BI133" i="1"/>
  <c r="BG133" i="1"/>
  <c r="BE133" i="1"/>
  <c r="J133" i="1"/>
  <c r="CP132" i="1"/>
  <c r="CN132" i="1"/>
  <c r="CJ132" i="1"/>
  <c r="BN132" i="1"/>
  <c r="BI132" i="1"/>
  <c r="BG132" i="1"/>
  <c r="BE132" i="1"/>
  <c r="J132" i="1"/>
  <c r="CP131" i="1"/>
  <c r="CN131" i="1"/>
  <c r="CJ131" i="1"/>
  <c r="BN131" i="1"/>
  <c r="BI131" i="1"/>
  <c r="BG131" i="1"/>
  <c r="BE131" i="1"/>
  <c r="J131" i="1"/>
  <c r="CP130" i="1"/>
  <c r="CN130" i="1"/>
  <c r="CJ130" i="1"/>
  <c r="BN130" i="1"/>
  <c r="BI130" i="1"/>
  <c r="BG130" i="1"/>
  <c r="BE130" i="1"/>
  <c r="J130" i="1"/>
  <c r="CP129" i="1"/>
  <c r="CN129" i="1"/>
  <c r="CJ129" i="1"/>
  <c r="BN129" i="1"/>
  <c r="BI129" i="1"/>
  <c r="BG129" i="1"/>
  <c r="BE129" i="1"/>
  <c r="J129" i="1"/>
  <c r="CP128" i="1"/>
  <c r="CN128" i="1"/>
  <c r="CJ128" i="1"/>
  <c r="BN128" i="1"/>
  <c r="BI128" i="1"/>
  <c r="BG128" i="1"/>
  <c r="BE128" i="1"/>
  <c r="J128" i="1"/>
  <c r="CP127" i="1"/>
  <c r="CN127" i="1"/>
  <c r="CJ127" i="1"/>
  <c r="BN127" i="1"/>
  <c r="BI127" i="1"/>
  <c r="BG127" i="1"/>
  <c r="BE127" i="1"/>
  <c r="J127" i="1"/>
  <c r="CP126" i="1"/>
  <c r="CN126" i="1"/>
  <c r="CJ126" i="1"/>
  <c r="BN126" i="1"/>
  <c r="BI126" i="1"/>
  <c r="BG126" i="1"/>
  <c r="BE126" i="1"/>
  <c r="J126" i="1"/>
  <c r="CP125" i="1"/>
  <c r="CN125" i="1"/>
  <c r="CJ125" i="1"/>
  <c r="BN125" i="1"/>
  <c r="BI125" i="1"/>
  <c r="BG125" i="1"/>
  <c r="BE125" i="1"/>
  <c r="J125" i="1"/>
  <c r="CP124" i="1"/>
  <c r="CN124" i="1"/>
  <c r="CJ124" i="1"/>
  <c r="BN124" i="1"/>
  <c r="BI124" i="1"/>
  <c r="BG124" i="1"/>
  <c r="BE124" i="1"/>
  <c r="J124" i="1"/>
  <c r="CP123" i="1"/>
  <c r="CN123" i="1"/>
  <c r="CJ123" i="1"/>
  <c r="BN123" i="1"/>
  <c r="BI123" i="1"/>
  <c r="BG123" i="1"/>
  <c r="BE123" i="1"/>
  <c r="J123" i="1"/>
  <c r="CP122" i="1"/>
  <c r="CN122" i="1"/>
  <c r="CJ122" i="1"/>
  <c r="BN122" i="1"/>
  <c r="BI122" i="1"/>
  <c r="BG122" i="1"/>
  <c r="BE122" i="1"/>
  <c r="J122" i="1"/>
  <c r="CP121" i="1"/>
  <c r="CN121" i="1"/>
  <c r="CJ121" i="1"/>
  <c r="BN121" i="1"/>
  <c r="BI121" i="1"/>
  <c r="BG121" i="1"/>
  <c r="BE121" i="1"/>
  <c r="J121" i="1"/>
  <c r="CP120" i="1"/>
  <c r="CN120" i="1"/>
  <c r="CJ120" i="1"/>
  <c r="BN120" i="1"/>
  <c r="BI120" i="1"/>
  <c r="BG120" i="1"/>
  <c r="BE120" i="1"/>
  <c r="J120" i="1"/>
  <c r="CP119" i="1"/>
  <c r="CN119" i="1"/>
  <c r="CJ119" i="1"/>
  <c r="BN119" i="1"/>
  <c r="BI119" i="1"/>
  <c r="BG119" i="1"/>
  <c r="BE119" i="1"/>
  <c r="J119" i="1"/>
  <c r="CP118" i="1"/>
  <c r="CN118" i="1"/>
  <c r="CJ118" i="1"/>
  <c r="BN118" i="1"/>
  <c r="BI118" i="1"/>
  <c r="BG118" i="1"/>
  <c r="BE118" i="1"/>
  <c r="J118" i="1"/>
  <c r="CP117" i="1"/>
  <c r="CN117" i="1"/>
  <c r="CJ117" i="1"/>
  <c r="BN117" i="1"/>
  <c r="BI117" i="1"/>
  <c r="BG117" i="1"/>
  <c r="BE117" i="1"/>
  <c r="J117" i="1"/>
  <c r="CP116" i="1"/>
  <c r="CN116" i="1"/>
  <c r="CJ116" i="1"/>
  <c r="BN116" i="1"/>
  <c r="BI116" i="1"/>
  <c r="BG116" i="1"/>
  <c r="BE116" i="1"/>
  <c r="J116" i="1"/>
  <c r="CP115" i="1"/>
  <c r="CN115" i="1"/>
  <c r="CJ115" i="1"/>
  <c r="BN115" i="1"/>
  <c r="BI115" i="1"/>
  <c r="BG115" i="1"/>
  <c r="BE115" i="1"/>
  <c r="J115" i="1"/>
  <c r="CP114" i="1"/>
  <c r="CN114" i="1"/>
  <c r="CJ114" i="1"/>
  <c r="BN114" i="1"/>
  <c r="BI114" i="1"/>
  <c r="BG114" i="1"/>
  <c r="BE114" i="1"/>
  <c r="J114" i="1"/>
  <c r="CP113" i="1"/>
  <c r="CN113" i="1"/>
  <c r="CJ113" i="1"/>
  <c r="BN113" i="1"/>
  <c r="BI113" i="1"/>
  <c r="BG113" i="1"/>
  <c r="BE113" i="1"/>
  <c r="J113" i="1"/>
  <c r="CP112" i="1"/>
  <c r="CN112" i="1"/>
  <c r="CJ112" i="1"/>
  <c r="BN112" i="1"/>
  <c r="BI112" i="1"/>
  <c r="BG112" i="1"/>
  <c r="BE112" i="1"/>
  <c r="J112" i="1"/>
  <c r="CP111" i="1"/>
  <c r="CN111" i="1"/>
  <c r="CJ111" i="1"/>
  <c r="BN111" i="1"/>
  <c r="BI111" i="1"/>
  <c r="BG111" i="1"/>
  <c r="BE111" i="1"/>
  <c r="J111" i="1"/>
  <c r="CP110" i="1"/>
  <c r="CN110" i="1"/>
  <c r="CJ110" i="1"/>
  <c r="BN110" i="1"/>
  <c r="BI110" i="1"/>
  <c r="BG110" i="1"/>
  <c r="BE110" i="1"/>
  <c r="J110" i="1"/>
  <c r="CP109" i="1"/>
  <c r="CN109" i="1"/>
  <c r="CJ109" i="1"/>
  <c r="BN109" i="1"/>
  <c r="BI109" i="1"/>
  <c r="BG109" i="1"/>
  <c r="BE109" i="1"/>
  <c r="J109" i="1"/>
  <c r="CP108" i="1"/>
  <c r="CN108" i="1"/>
  <c r="CJ108" i="1"/>
  <c r="BN108" i="1"/>
  <c r="BI108" i="1"/>
  <c r="BG108" i="1"/>
  <c r="BE108" i="1"/>
  <c r="J108" i="1"/>
  <c r="CP107" i="1"/>
  <c r="CN107" i="1"/>
  <c r="CJ107" i="1"/>
  <c r="BN107" i="1"/>
  <c r="BI107" i="1"/>
  <c r="BG107" i="1"/>
  <c r="BE107" i="1"/>
  <c r="J107" i="1"/>
  <c r="CP106" i="1"/>
  <c r="CN106" i="1"/>
  <c r="CJ106" i="1"/>
  <c r="BN106" i="1"/>
  <c r="BI106" i="1"/>
  <c r="BG106" i="1"/>
  <c r="BE106" i="1"/>
  <c r="J106" i="1"/>
  <c r="CP105" i="1"/>
  <c r="CN105" i="1"/>
  <c r="CJ105" i="1"/>
  <c r="BN105" i="1"/>
  <c r="BI105" i="1"/>
  <c r="BG105" i="1"/>
  <c r="BE105" i="1"/>
  <c r="J105" i="1"/>
  <c r="CP104" i="1"/>
  <c r="CN104" i="1"/>
  <c r="CJ104" i="1"/>
  <c r="BN104" i="1"/>
  <c r="BI104" i="1"/>
  <c r="BG104" i="1"/>
  <c r="BE104" i="1"/>
  <c r="J104" i="1"/>
  <c r="CP103" i="1"/>
  <c r="CN103" i="1"/>
  <c r="CJ103" i="1"/>
  <c r="BN103" i="1"/>
  <c r="BI103" i="1"/>
  <c r="BG103" i="1"/>
  <c r="BE103" i="1"/>
  <c r="J103" i="1"/>
  <c r="CP102" i="1"/>
  <c r="CN102" i="1"/>
  <c r="CJ102" i="1"/>
  <c r="BN102" i="1"/>
  <c r="BI102" i="1"/>
  <c r="BG102" i="1"/>
  <c r="BE102" i="1"/>
  <c r="J102" i="1"/>
  <c r="CP101" i="1"/>
  <c r="CN101" i="1"/>
  <c r="CJ101" i="1"/>
  <c r="BN101" i="1"/>
  <c r="BI101" i="1"/>
  <c r="BG101" i="1"/>
  <c r="BE101" i="1"/>
  <c r="J101" i="1"/>
  <c r="CP100" i="1"/>
  <c r="CN100" i="1"/>
  <c r="CJ100" i="1"/>
  <c r="BN100" i="1"/>
  <c r="BI100" i="1"/>
  <c r="BG100" i="1"/>
  <c r="BE100" i="1"/>
  <c r="J100" i="1"/>
  <c r="CP99" i="1"/>
  <c r="CN99" i="1"/>
  <c r="CJ99" i="1"/>
  <c r="BN99" i="1"/>
  <c r="BI99" i="1"/>
  <c r="BG99" i="1"/>
  <c r="BE99" i="1"/>
  <c r="J99" i="1"/>
  <c r="CP98" i="1"/>
  <c r="CN98" i="1"/>
  <c r="CJ98" i="1"/>
  <c r="BN98" i="1"/>
  <c r="BI98" i="1"/>
  <c r="BG98" i="1"/>
  <c r="BE98" i="1"/>
  <c r="J98" i="1"/>
  <c r="CP97" i="1"/>
  <c r="CN97" i="1"/>
  <c r="CJ97" i="1"/>
  <c r="BN97" i="1"/>
  <c r="BI97" i="1"/>
  <c r="BG97" i="1"/>
  <c r="BE97" i="1"/>
  <c r="J97" i="1"/>
  <c r="CP96" i="1"/>
  <c r="CN96" i="1"/>
  <c r="CJ96" i="1"/>
  <c r="BN96" i="1"/>
  <c r="BI96" i="1"/>
  <c r="BG96" i="1"/>
  <c r="BE96" i="1"/>
  <c r="J96" i="1"/>
  <c r="CP95" i="1"/>
  <c r="CN95" i="1"/>
  <c r="CJ95" i="1"/>
  <c r="BN95" i="1"/>
  <c r="BI95" i="1"/>
  <c r="BG95" i="1"/>
  <c r="BE95" i="1"/>
  <c r="J95" i="1"/>
  <c r="CP94" i="1"/>
  <c r="CN94" i="1"/>
  <c r="CJ94" i="1"/>
  <c r="BN94" i="1"/>
  <c r="BI94" i="1"/>
  <c r="BG94" i="1"/>
  <c r="BE94" i="1"/>
  <c r="J94" i="1"/>
  <c r="CP93" i="1"/>
  <c r="CN93" i="1"/>
  <c r="CJ93" i="1"/>
  <c r="BN93" i="1"/>
  <c r="BI93" i="1"/>
  <c r="BG93" i="1"/>
  <c r="BE93" i="1"/>
  <c r="J93" i="1"/>
  <c r="CP92" i="1"/>
  <c r="CN92" i="1"/>
  <c r="CJ92" i="1"/>
  <c r="BN92" i="1"/>
  <c r="BI92" i="1"/>
  <c r="BG92" i="1"/>
  <c r="BE92" i="1"/>
  <c r="J92" i="1"/>
  <c r="CP91" i="1"/>
  <c r="CN91" i="1"/>
  <c r="CJ91" i="1"/>
  <c r="BN91" i="1"/>
  <c r="BI91" i="1"/>
  <c r="BG91" i="1"/>
  <c r="BE91" i="1"/>
  <c r="J91" i="1"/>
  <c r="CP90" i="1"/>
  <c r="CN90" i="1"/>
  <c r="CJ90" i="1"/>
  <c r="BN90" i="1"/>
  <c r="BI90" i="1"/>
  <c r="BG90" i="1"/>
  <c r="BE90" i="1"/>
  <c r="J90" i="1"/>
  <c r="CP89" i="1"/>
  <c r="CN89" i="1"/>
  <c r="CJ89" i="1"/>
  <c r="BN89" i="1"/>
  <c r="BI89" i="1"/>
  <c r="BG89" i="1"/>
  <c r="BE89" i="1"/>
  <c r="J89" i="1"/>
  <c r="CP88" i="1"/>
  <c r="CN88" i="1"/>
  <c r="CJ88" i="1"/>
  <c r="BN88" i="1"/>
  <c r="BI88" i="1"/>
  <c r="BG88" i="1"/>
  <c r="BE88" i="1"/>
  <c r="J88" i="1"/>
  <c r="CP87" i="1"/>
  <c r="CN87" i="1"/>
  <c r="CJ87" i="1"/>
  <c r="BN87" i="1"/>
  <c r="BI87" i="1"/>
  <c r="BG87" i="1"/>
  <c r="BE87" i="1"/>
  <c r="J87" i="1"/>
  <c r="CP86" i="1"/>
  <c r="CN86" i="1"/>
  <c r="CJ86" i="1"/>
  <c r="BN86" i="1"/>
  <c r="BI86" i="1"/>
  <c r="BG86" i="1"/>
  <c r="BE86" i="1"/>
  <c r="J86" i="1"/>
  <c r="CP85" i="1"/>
  <c r="CN85" i="1"/>
  <c r="CJ85" i="1"/>
  <c r="BN85" i="1"/>
  <c r="BI85" i="1"/>
  <c r="BG85" i="1"/>
  <c r="BE85" i="1"/>
  <c r="J85" i="1"/>
  <c r="CP84" i="1"/>
  <c r="CN84" i="1"/>
  <c r="CJ84" i="1"/>
  <c r="BN84" i="1"/>
  <c r="BI84" i="1"/>
  <c r="BG84" i="1"/>
  <c r="BE84" i="1"/>
  <c r="J84" i="1"/>
  <c r="CP83" i="1"/>
  <c r="CN83" i="1"/>
  <c r="CJ83" i="1"/>
  <c r="BN83" i="1"/>
  <c r="BI83" i="1"/>
  <c r="BG83" i="1"/>
  <c r="BE83" i="1"/>
  <c r="J83" i="1"/>
  <c r="CP82" i="1"/>
  <c r="CN82" i="1"/>
  <c r="CJ82" i="1"/>
  <c r="BN82" i="1"/>
  <c r="BI82" i="1"/>
  <c r="BG82" i="1"/>
  <c r="BE82" i="1"/>
  <c r="J82" i="1"/>
  <c r="CP81" i="1"/>
  <c r="CN81" i="1"/>
  <c r="CJ81" i="1"/>
  <c r="BN81" i="1"/>
  <c r="BI81" i="1"/>
  <c r="BG81" i="1"/>
  <c r="BE81" i="1"/>
  <c r="J81" i="1"/>
  <c r="CP80" i="1"/>
  <c r="CN80" i="1"/>
  <c r="CJ80" i="1"/>
  <c r="BN80" i="1"/>
  <c r="BI80" i="1"/>
  <c r="BG80" i="1"/>
  <c r="BE80" i="1"/>
  <c r="J80" i="1"/>
  <c r="CP79" i="1"/>
  <c r="CN79" i="1"/>
  <c r="CJ79" i="1"/>
  <c r="BN79" i="1"/>
  <c r="BI79" i="1"/>
  <c r="BG79" i="1"/>
  <c r="BE79" i="1"/>
  <c r="J79" i="1"/>
  <c r="CP78" i="1"/>
  <c r="CN78" i="1"/>
  <c r="CJ78" i="1"/>
  <c r="BN78" i="1"/>
  <c r="BI78" i="1"/>
  <c r="BG78" i="1"/>
  <c r="BE78" i="1"/>
  <c r="J78" i="1"/>
  <c r="CP77" i="1"/>
  <c r="CN77" i="1"/>
  <c r="CJ77" i="1"/>
  <c r="BN77" i="1"/>
  <c r="BI77" i="1"/>
  <c r="BG77" i="1"/>
  <c r="BE77" i="1"/>
  <c r="J77" i="1"/>
  <c r="CP76" i="1"/>
  <c r="CN76" i="1"/>
  <c r="CJ76" i="1"/>
  <c r="BN76" i="1"/>
  <c r="BI76" i="1"/>
  <c r="BG76" i="1"/>
  <c r="BE76" i="1"/>
  <c r="J76" i="1"/>
  <c r="CP75" i="1"/>
  <c r="CN75" i="1"/>
  <c r="CJ75" i="1"/>
  <c r="BN75" i="1"/>
  <c r="BI75" i="1"/>
  <c r="BG75" i="1"/>
  <c r="BE75" i="1"/>
  <c r="J75" i="1"/>
  <c r="CP74" i="1"/>
  <c r="CN74" i="1"/>
  <c r="CJ74" i="1"/>
  <c r="BN74" i="1"/>
  <c r="BI74" i="1"/>
  <c r="BG74" i="1"/>
  <c r="BE74" i="1"/>
  <c r="J74" i="1"/>
  <c r="CP73" i="1"/>
  <c r="CN73" i="1"/>
  <c r="CJ73" i="1"/>
  <c r="BN73" i="1"/>
  <c r="BI73" i="1"/>
  <c r="BG73" i="1"/>
  <c r="BE73" i="1"/>
  <c r="J73" i="1"/>
  <c r="CP72" i="1"/>
  <c r="CN72" i="1"/>
  <c r="CJ72" i="1"/>
  <c r="BN72" i="1"/>
  <c r="BI72" i="1"/>
  <c r="BG72" i="1"/>
  <c r="BE72" i="1"/>
  <c r="J72" i="1"/>
  <c r="CP71" i="1"/>
  <c r="CN71" i="1"/>
  <c r="CJ71" i="1"/>
  <c r="BN71" i="1"/>
  <c r="BI71" i="1"/>
  <c r="BG71" i="1"/>
  <c r="BE71" i="1"/>
  <c r="J71" i="1"/>
  <c r="CP70" i="1"/>
  <c r="CN70" i="1"/>
  <c r="CJ70" i="1"/>
  <c r="BN70" i="1"/>
  <c r="BI70" i="1"/>
  <c r="BG70" i="1"/>
  <c r="BE70" i="1"/>
  <c r="J70" i="1"/>
  <c r="CP69" i="1"/>
  <c r="CN69" i="1"/>
  <c r="CJ69" i="1"/>
  <c r="BN69" i="1"/>
  <c r="BI69" i="1"/>
  <c r="BG69" i="1"/>
  <c r="BE69" i="1"/>
  <c r="J69" i="1"/>
  <c r="CP68" i="1"/>
  <c r="CN68" i="1"/>
  <c r="CJ68" i="1"/>
  <c r="BN68" i="1"/>
  <c r="BI68" i="1"/>
  <c r="BG68" i="1"/>
  <c r="BE68" i="1"/>
  <c r="J68" i="1"/>
  <c r="CP67" i="1"/>
  <c r="CN67" i="1"/>
  <c r="CJ67" i="1"/>
  <c r="BN67" i="1"/>
  <c r="BI67" i="1"/>
  <c r="BG67" i="1"/>
  <c r="BE67" i="1"/>
  <c r="J67" i="1"/>
  <c r="CP66" i="1"/>
  <c r="CN66" i="1"/>
  <c r="CJ66" i="1"/>
  <c r="BN66" i="1"/>
  <c r="BI66" i="1"/>
  <c r="BG66" i="1"/>
  <c r="BE66" i="1"/>
  <c r="J66" i="1"/>
  <c r="CP65" i="1"/>
  <c r="CN65" i="1"/>
  <c r="CJ65" i="1"/>
  <c r="BN65" i="1"/>
  <c r="BI65" i="1"/>
  <c r="BG65" i="1"/>
  <c r="BE65" i="1"/>
  <c r="J65" i="1"/>
  <c r="CP64" i="1"/>
  <c r="CN64" i="1"/>
  <c r="CJ64" i="1"/>
  <c r="BN64" i="1"/>
  <c r="BI64" i="1"/>
  <c r="BG64" i="1"/>
  <c r="BE64" i="1"/>
  <c r="J64" i="1"/>
  <c r="CP63" i="1"/>
  <c r="CN63" i="1"/>
  <c r="CJ63" i="1"/>
  <c r="BN63" i="1"/>
  <c r="BI63" i="1"/>
  <c r="BG63" i="1"/>
  <c r="BE63" i="1"/>
  <c r="J63" i="1"/>
  <c r="CP62" i="1"/>
  <c r="CN62" i="1"/>
  <c r="CJ62" i="1"/>
  <c r="BN62" i="1"/>
  <c r="BI62" i="1"/>
  <c r="BG62" i="1"/>
  <c r="BE62" i="1"/>
  <c r="J62" i="1"/>
  <c r="CP61" i="1"/>
  <c r="CN61" i="1"/>
  <c r="CJ61" i="1"/>
  <c r="BN61" i="1"/>
  <c r="BI61" i="1"/>
  <c r="BG61" i="1"/>
  <c r="BE61" i="1"/>
  <c r="J61" i="1"/>
  <c r="CP60" i="1"/>
  <c r="CN60" i="1"/>
  <c r="CJ60" i="1"/>
  <c r="BN60" i="1"/>
  <c r="BI60" i="1"/>
  <c r="BG60" i="1"/>
  <c r="BE60" i="1"/>
  <c r="J60" i="1"/>
  <c r="CP59" i="1"/>
  <c r="CN59" i="1"/>
  <c r="CJ59" i="1"/>
  <c r="BN59" i="1"/>
  <c r="BI59" i="1"/>
  <c r="BG59" i="1"/>
  <c r="BE59" i="1"/>
  <c r="J59" i="1"/>
  <c r="CP58" i="1"/>
  <c r="CN58" i="1"/>
  <c r="CJ58" i="1"/>
  <c r="BN58" i="1"/>
  <c r="BI58" i="1"/>
  <c r="BG58" i="1"/>
  <c r="BE58" i="1"/>
  <c r="J58" i="1"/>
  <c r="CP57" i="1"/>
  <c r="CN57" i="1"/>
  <c r="CJ57" i="1"/>
  <c r="BN57" i="1"/>
  <c r="BI57" i="1"/>
  <c r="BG57" i="1"/>
  <c r="BE57" i="1"/>
  <c r="J57" i="1"/>
  <c r="CP56" i="1"/>
  <c r="CN56" i="1"/>
  <c r="CJ56" i="1"/>
  <c r="BN56" i="1"/>
  <c r="BI56" i="1"/>
  <c r="BG56" i="1"/>
  <c r="BE56" i="1"/>
  <c r="J56" i="1"/>
  <c r="CP55" i="1"/>
  <c r="CN55" i="1"/>
  <c r="CJ55" i="1"/>
  <c r="BN55" i="1"/>
  <c r="BI55" i="1"/>
  <c r="BG55" i="1"/>
  <c r="BE55" i="1"/>
  <c r="J55" i="1"/>
  <c r="CP54" i="1"/>
  <c r="CN54" i="1"/>
  <c r="CJ54" i="1"/>
  <c r="BN54" i="1"/>
  <c r="BI54" i="1"/>
  <c r="BG54" i="1"/>
  <c r="BE54" i="1"/>
  <c r="J54" i="1"/>
  <c r="CP53" i="1"/>
  <c r="CN53" i="1"/>
  <c r="CJ53" i="1"/>
  <c r="BN53" i="1"/>
  <c r="BI53" i="1"/>
  <c r="BG53" i="1"/>
  <c r="BE53" i="1"/>
  <c r="J53" i="1"/>
  <c r="CP52" i="1"/>
  <c r="CN52" i="1"/>
  <c r="CJ52" i="1"/>
  <c r="BN52" i="1"/>
  <c r="BI52" i="1"/>
  <c r="BG52" i="1"/>
  <c r="BE52" i="1"/>
  <c r="J52" i="1"/>
  <c r="CP51" i="1"/>
  <c r="CN51" i="1"/>
  <c r="CJ51" i="1"/>
  <c r="BN51" i="1"/>
  <c r="BI51" i="1"/>
  <c r="BG51" i="1"/>
  <c r="BE51" i="1"/>
  <c r="J51" i="1"/>
  <c r="CP50" i="1"/>
  <c r="CN50" i="1"/>
  <c r="CJ50" i="1"/>
  <c r="BN50" i="1"/>
  <c r="BI50" i="1"/>
  <c r="BG50" i="1"/>
  <c r="BE50" i="1"/>
  <c r="J50" i="1"/>
  <c r="CP49" i="1"/>
  <c r="CN49" i="1"/>
  <c r="CJ49" i="1"/>
  <c r="BN49" i="1"/>
  <c r="BI49" i="1"/>
  <c r="BG49" i="1"/>
  <c r="BE49" i="1"/>
  <c r="J49" i="1"/>
  <c r="CP48" i="1"/>
  <c r="CN48" i="1"/>
  <c r="CJ48" i="1"/>
  <c r="BN48" i="1"/>
  <c r="BI48" i="1"/>
  <c r="BG48" i="1"/>
  <c r="BE48" i="1"/>
  <c r="J48" i="1"/>
  <c r="CP47" i="1"/>
  <c r="CN47" i="1"/>
  <c r="CJ47" i="1"/>
  <c r="BN47" i="1"/>
  <c r="BI47" i="1"/>
  <c r="BG47" i="1"/>
  <c r="BE47" i="1"/>
  <c r="J47" i="1"/>
  <c r="CP46" i="1"/>
  <c r="CN46" i="1"/>
  <c r="CJ46" i="1"/>
  <c r="BN46" i="1"/>
  <c r="BI46" i="1"/>
  <c r="BG46" i="1"/>
  <c r="BE46" i="1"/>
  <c r="J46" i="1"/>
  <c r="CP45" i="1"/>
  <c r="CN45" i="1"/>
  <c r="CJ45" i="1"/>
  <c r="BN45" i="1"/>
  <c r="BI45" i="1"/>
  <c r="BG45" i="1"/>
  <c r="BE45" i="1"/>
  <c r="J45" i="1"/>
  <c r="CP44" i="1"/>
  <c r="CN44" i="1"/>
  <c r="CJ44" i="1"/>
  <c r="BN44" i="1"/>
  <c r="BI44" i="1"/>
  <c r="BG44" i="1"/>
  <c r="BE44" i="1"/>
  <c r="J44" i="1"/>
  <c r="CP43" i="1"/>
  <c r="CN43" i="1"/>
  <c r="CJ43" i="1"/>
  <c r="BN43" i="1"/>
  <c r="BI43" i="1"/>
  <c r="BG43" i="1"/>
  <c r="BE43" i="1"/>
  <c r="J43" i="1"/>
  <c r="CP42" i="1"/>
  <c r="CN42" i="1"/>
  <c r="CJ42" i="1"/>
  <c r="BN42" i="1"/>
  <c r="BI42" i="1"/>
  <c r="BG42" i="1"/>
  <c r="BE42" i="1"/>
  <c r="J42" i="1"/>
  <c r="CP41" i="1"/>
  <c r="CN41" i="1"/>
  <c r="CJ41" i="1"/>
  <c r="BN41" i="1"/>
  <c r="BI41" i="1"/>
  <c r="BG41" i="1"/>
  <c r="BE41" i="1"/>
  <c r="J41" i="1"/>
  <c r="CP40" i="1"/>
  <c r="CN40" i="1"/>
  <c r="CJ40" i="1"/>
  <c r="BN40" i="1"/>
  <c r="BI40" i="1"/>
  <c r="BG40" i="1"/>
  <c r="BE40" i="1"/>
  <c r="J40" i="1"/>
  <c r="CP39" i="1"/>
  <c r="CN39" i="1"/>
  <c r="CJ39" i="1"/>
  <c r="BN39" i="1"/>
  <c r="BI39" i="1"/>
  <c r="BG39" i="1"/>
  <c r="BE39" i="1"/>
  <c r="J39" i="1"/>
  <c r="CP38" i="1"/>
  <c r="CN38" i="1"/>
  <c r="CJ38" i="1"/>
  <c r="BN38" i="1"/>
  <c r="BI38" i="1"/>
  <c r="BG38" i="1"/>
  <c r="BE38" i="1"/>
  <c r="J38" i="1"/>
  <c r="CP37" i="1"/>
  <c r="CN37" i="1"/>
  <c r="CJ37" i="1"/>
  <c r="BN37" i="1"/>
  <c r="BI37" i="1"/>
  <c r="BG37" i="1"/>
  <c r="BE37" i="1"/>
  <c r="J37" i="1"/>
  <c r="CP36" i="1"/>
  <c r="CN36" i="1"/>
  <c r="CJ36" i="1"/>
  <c r="BN36" i="1"/>
  <c r="BI36" i="1"/>
  <c r="BG36" i="1"/>
  <c r="BE36" i="1"/>
  <c r="J36" i="1"/>
  <c r="CP35" i="1"/>
  <c r="CN35" i="1"/>
  <c r="CJ35" i="1"/>
  <c r="BN35" i="1"/>
  <c r="BI35" i="1"/>
  <c r="BG35" i="1"/>
  <c r="BE35" i="1"/>
  <c r="J35" i="1"/>
  <c r="CP34" i="1"/>
  <c r="CN34" i="1"/>
  <c r="CJ34" i="1"/>
  <c r="BN34" i="1"/>
  <c r="BI34" i="1"/>
  <c r="BG34" i="1"/>
  <c r="BE34" i="1"/>
  <c r="J34" i="1"/>
  <c r="CP33" i="1"/>
  <c r="CN33" i="1"/>
  <c r="CJ33" i="1"/>
  <c r="BN33" i="1"/>
  <c r="BI33" i="1"/>
  <c r="BG33" i="1"/>
  <c r="BE33" i="1"/>
  <c r="J33" i="1"/>
  <c r="CP32" i="1"/>
  <c r="CN32" i="1"/>
  <c r="CJ32" i="1"/>
  <c r="BN32" i="1"/>
  <c r="BI32" i="1"/>
  <c r="BG32" i="1"/>
  <c r="BE32" i="1"/>
  <c r="J32" i="1"/>
  <c r="CP31" i="1"/>
  <c r="CN31" i="1"/>
  <c r="CJ31" i="1"/>
  <c r="BN31" i="1"/>
  <c r="BI31" i="1"/>
  <c r="BG31" i="1"/>
  <c r="BE31" i="1"/>
  <c r="J31" i="1"/>
  <c r="CP30" i="1"/>
  <c r="CN30" i="1"/>
  <c r="CJ30" i="1"/>
  <c r="BN30" i="1"/>
  <c r="BI30" i="1"/>
  <c r="BG30" i="1"/>
  <c r="BE30" i="1"/>
  <c r="J30" i="1"/>
  <c r="CP29" i="1"/>
  <c r="CN29" i="1"/>
  <c r="CJ29" i="1"/>
  <c r="BN29" i="1"/>
  <c r="BI29" i="1"/>
  <c r="BG29" i="1"/>
  <c r="BE29" i="1"/>
  <c r="J29" i="1"/>
  <c r="CP28" i="1"/>
  <c r="CN28" i="1"/>
  <c r="CJ28" i="1"/>
  <c r="BN28" i="1"/>
  <c r="BI28" i="1"/>
  <c r="BG28" i="1"/>
  <c r="BE28" i="1"/>
  <c r="J28" i="1"/>
  <c r="CP27" i="1"/>
  <c r="CN27" i="1"/>
  <c r="CJ27" i="1"/>
  <c r="BN27" i="1"/>
  <c r="BI27" i="1"/>
  <c r="BG27" i="1"/>
  <c r="BE27" i="1"/>
  <c r="J27" i="1"/>
  <c r="CP26" i="1"/>
  <c r="CN26" i="1"/>
  <c r="CJ26" i="1"/>
  <c r="BN26" i="1"/>
  <c r="BI26" i="1"/>
  <c r="BG26" i="1"/>
  <c r="BE26" i="1"/>
  <c r="J26" i="1"/>
  <c r="CP25" i="1"/>
  <c r="CN25" i="1"/>
  <c r="CJ25" i="1"/>
  <c r="BN25" i="1"/>
  <c r="BI25" i="1"/>
  <c r="BG25" i="1"/>
  <c r="BE25" i="1"/>
  <c r="J25" i="1"/>
  <c r="CP24" i="1"/>
  <c r="CN24" i="1"/>
  <c r="CJ24" i="1"/>
  <c r="BN24" i="1"/>
  <c r="BI24" i="1"/>
  <c r="BG24" i="1"/>
  <c r="BE24" i="1"/>
  <c r="J24" i="1"/>
  <c r="CP23" i="1"/>
  <c r="CN23" i="1"/>
  <c r="CJ23" i="1"/>
  <c r="BN23" i="1"/>
  <c r="BI23" i="1"/>
  <c r="BG23" i="1"/>
  <c r="BE23" i="1"/>
  <c r="J23" i="1"/>
  <c r="CP22" i="1"/>
  <c r="CN22" i="1"/>
  <c r="CJ22" i="1"/>
  <c r="BN22" i="1"/>
  <c r="BI22" i="1"/>
  <c r="BG22" i="1"/>
  <c r="BE22" i="1"/>
  <c r="J22" i="1"/>
  <c r="CP21" i="1"/>
  <c r="CN21" i="1"/>
  <c r="CJ21" i="1"/>
  <c r="BN21" i="1"/>
  <c r="BI21" i="1"/>
  <c r="BG21" i="1"/>
  <c r="BE21" i="1"/>
  <c r="J21" i="1"/>
  <c r="CP20" i="1"/>
  <c r="CN20" i="1"/>
  <c r="CJ20" i="1"/>
  <c r="BN20" i="1"/>
  <c r="BI20" i="1"/>
  <c r="BG20" i="1"/>
  <c r="BE20" i="1"/>
  <c r="J20" i="1"/>
  <c r="CP19" i="1"/>
  <c r="CN19" i="1"/>
  <c r="CJ19" i="1"/>
  <c r="BN19" i="1"/>
  <c r="BI19" i="1"/>
  <c r="BG19" i="1"/>
  <c r="BE19" i="1"/>
  <c r="J19" i="1"/>
  <c r="CP18" i="1"/>
  <c r="CN18" i="1"/>
  <c r="CJ18" i="1"/>
  <c r="BN18" i="1"/>
  <c r="BI18" i="1"/>
  <c r="BG18" i="1"/>
  <c r="BE18" i="1"/>
  <c r="J18" i="1"/>
  <c r="CP17" i="1"/>
  <c r="CN17" i="1"/>
  <c r="CJ17" i="1"/>
  <c r="BN17" i="1"/>
  <c r="BI17" i="1"/>
  <c r="BG17" i="1"/>
  <c r="BE17" i="1"/>
  <c r="J17" i="1"/>
  <c r="CP16" i="1"/>
  <c r="CN16" i="1"/>
  <c r="CJ16" i="1"/>
  <c r="BN16" i="1"/>
  <c r="BI16" i="1"/>
  <c r="BG16" i="1"/>
  <c r="BE16" i="1"/>
  <c r="J16" i="1"/>
  <c r="CP15" i="1"/>
  <c r="CN15" i="1"/>
  <c r="CJ15" i="1"/>
  <c r="BN15" i="1"/>
  <c r="BI15" i="1"/>
  <c r="BG15" i="1"/>
  <c r="BE15" i="1"/>
  <c r="J15" i="1"/>
  <c r="CP14" i="1"/>
  <c r="CN14" i="1"/>
  <c r="CJ14" i="1"/>
  <c r="BN14" i="1"/>
  <c r="BI14" i="1"/>
  <c r="BG14" i="1"/>
  <c r="BE14" i="1"/>
  <c r="J14" i="1"/>
  <c r="CP13" i="1"/>
  <c r="CN13" i="1"/>
  <c r="CJ13" i="1"/>
  <c r="BN13" i="1"/>
  <c r="BI13" i="1"/>
  <c r="BG13" i="1"/>
  <c r="BE13" i="1"/>
  <c r="J13" i="1"/>
  <c r="CP12" i="1"/>
  <c r="CN12" i="1"/>
  <c r="CJ12" i="1"/>
  <c r="BN12" i="1"/>
  <c r="BI12" i="1"/>
  <c r="BG12" i="1"/>
  <c r="BE12" i="1"/>
  <c r="J12" i="1"/>
  <c r="CP11" i="1"/>
  <c r="CN11" i="1"/>
  <c r="CJ11" i="1"/>
  <c r="BN11" i="1"/>
  <c r="BI11" i="1"/>
  <c r="BG11" i="1"/>
  <c r="BE11" i="1"/>
  <c r="J11" i="1"/>
  <c r="CP10" i="1"/>
  <c r="CN10" i="1"/>
  <c r="CJ10" i="1"/>
  <c r="BN10" i="1"/>
  <c r="BI10" i="1"/>
  <c r="BG10" i="1"/>
  <c r="BE10" i="1"/>
  <c r="J10" i="1"/>
  <c r="CP9" i="1"/>
  <c r="CN9" i="1"/>
  <c r="CJ9" i="1"/>
  <c r="BN9" i="1"/>
  <c r="BI9" i="1"/>
  <c r="BG9" i="1"/>
  <c r="BE9" i="1"/>
  <c r="J9" i="1"/>
  <c r="CP8" i="1"/>
  <c r="CN8" i="1"/>
  <c r="CJ8" i="1"/>
  <c r="BN8" i="1"/>
  <c r="BI8" i="1"/>
  <c r="BG8" i="1"/>
  <c r="BE8" i="1"/>
  <c r="J8" i="1"/>
  <c r="CP7" i="1"/>
  <c r="CN7" i="1"/>
  <c r="CJ7" i="1"/>
  <c r="BN7" i="1"/>
  <c r="BI7" i="1"/>
  <c r="BG7" i="1"/>
  <c r="BE7" i="1"/>
  <c r="J7" i="1"/>
  <c r="CP6" i="1"/>
  <c r="CN6" i="1"/>
  <c r="CJ6" i="1"/>
  <c r="BN6" i="1"/>
  <c r="BI6" i="1"/>
  <c r="BG6" i="1"/>
  <c r="BE6" i="1"/>
  <c r="J6" i="1"/>
  <c r="CP5" i="1"/>
  <c r="CN5" i="1"/>
  <c r="CJ5" i="1"/>
  <c r="BN5" i="1"/>
  <c r="BI5" i="1"/>
  <c r="BG5" i="1"/>
  <c r="BE5" i="1"/>
  <c r="J5" i="1"/>
  <c r="CP4" i="1"/>
  <c r="CN4" i="1"/>
  <c r="CJ4" i="1"/>
  <c r="BN4" i="1"/>
  <c r="BI4" i="1"/>
  <c r="BG4" i="1"/>
  <c r="BE4" i="1"/>
  <c r="J4" i="1"/>
  <c r="CP3" i="1"/>
  <c r="CN3" i="1"/>
  <c r="CJ3" i="1"/>
  <c r="BN3" i="1"/>
  <c r="BI3" i="1"/>
  <c r="BG3" i="1"/>
  <c r="BE3" i="1"/>
  <c r="J3" i="1"/>
  <c r="CP2" i="1"/>
  <c r="CN2" i="1"/>
  <c r="CJ2" i="1"/>
  <c r="BN2" i="1"/>
  <c r="BI2" i="1"/>
  <c r="BG2" i="1"/>
  <c r="BE2" i="1"/>
  <c r="J2" i="1"/>
</calcChain>
</file>

<file path=xl/sharedStrings.xml><?xml version="1.0" encoding="utf-8"?>
<sst xmlns="http://schemas.openxmlformats.org/spreadsheetml/2006/main" count="3473" uniqueCount="1394">
  <si>
    <t>PARLIMEN</t>
  </si>
  <si>
    <t>PERLIS</t>
  </si>
  <si>
    <t>001</t>
  </si>
  <si>
    <t>001 PADANG BESAR</t>
  </si>
  <si>
    <t>PN</t>
  </si>
  <si>
    <t xml:space="preserve">RUSHDAN BIN RUSMI </t>
  </si>
  <si>
    <t>BN</t>
  </si>
  <si>
    <t>PH</t>
  </si>
  <si>
    <t xml:space="preserve"> UMNO</t>
  </si>
  <si>
    <t xml:space="preserve">ZAHIDA BINTI ZARIKH KHAN </t>
  </si>
  <si>
    <t>AMANAH</t>
  </si>
  <si>
    <t xml:space="preserve">KAPT (B) HJ MOHAMAD YAHAYA </t>
  </si>
  <si>
    <t xml:space="preserve"> PAS</t>
  </si>
  <si>
    <r>
      <rPr>
        <b/>
        <sz val="10"/>
        <color rgb="FFFFFFFF"/>
        <rFont val="Aptos Narrow"/>
        <family val="2"/>
        <scheme val="minor"/>
      </rPr>
      <t>PN</t>
    </r>
  </si>
  <si>
    <t>BN-UMNO</t>
  </si>
  <si>
    <t>ZAHIDI BIN ZAINUL ABIDIN</t>
  </si>
  <si>
    <t>81.2%</t>
  </si>
  <si>
    <t>UMNO</t>
  </si>
  <si>
    <t>PPBM</t>
  </si>
  <si>
    <t>002</t>
  </si>
  <si>
    <t>002 KANGAR</t>
  </si>
  <si>
    <t xml:space="preserve">CIKGU ZAKRI </t>
  </si>
  <si>
    <t xml:space="preserve">DR FATHULBARI </t>
  </si>
  <si>
    <t xml:space="preserve"> PKR</t>
  </si>
  <si>
    <t xml:space="preserve">AMIN AHMAD </t>
  </si>
  <si>
    <t xml:space="preserve"> PPBM</t>
  </si>
  <si>
    <t>PH-PKR</t>
  </si>
  <si>
    <t>NOOR AMIN BIN AHMAD</t>
  </si>
  <si>
    <t>81.7%</t>
  </si>
  <si>
    <t>PKR</t>
  </si>
  <si>
    <t>003</t>
  </si>
  <si>
    <t>003 ARAU</t>
  </si>
  <si>
    <t xml:space="preserve">SHAHIDAN BIN KASIM </t>
  </si>
  <si>
    <t xml:space="preserve">ROZABIL @ TOK BEN </t>
  </si>
  <si>
    <t xml:space="preserve">FATHIN AMELINA </t>
  </si>
  <si>
    <t>SHAHIDAN BIN KASSIM</t>
  </si>
  <si>
    <t>83.9%</t>
  </si>
  <si>
    <t>KEDAH</t>
  </si>
  <si>
    <t>004</t>
  </si>
  <si>
    <t>004 LANGKAWI</t>
  </si>
  <si>
    <t xml:space="preserve">MOHD SUHAIMI ABDULLAH </t>
  </si>
  <si>
    <t xml:space="preserve">DATO' ARMINSHAH SIRAJ (DAS) </t>
  </si>
  <si>
    <t xml:space="preserve">ZABIDI YAHYA </t>
  </si>
  <si>
    <t>PH-PPBM</t>
  </si>
  <si>
    <t>MAHATHIR BIN MOHAMAD</t>
  </si>
  <si>
    <t>82.6%</t>
  </si>
  <si>
    <t>005</t>
  </si>
  <si>
    <t>005 JERLUN</t>
  </si>
  <si>
    <t xml:space="preserve">DR. ABD GHANI AHMAD </t>
  </si>
  <si>
    <t xml:space="preserve">OTHMAN BIN AZIZ </t>
  </si>
  <si>
    <t xml:space="preserve">DR. MOHAMED FADZIL MOHD ALI </t>
  </si>
  <si>
    <t>MUKHRIZ MAHATHIR</t>
  </si>
  <si>
    <t>82.8%</t>
  </si>
  <si>
    <t>006</t>
  </si>
  <si>
    <t>006 KUBANG PASU</t>
  </si>
  <si>
    <t xml:space="preserve">DATO' WIRA DR. KU ABD RAHMAN BIN KU ISMAIL </t>
  </si>
  <si>
    <t xml:space="preserve">HASMUNI BIN HASSAN (TOK MUNI) </t>
  </si>
  <si>
    <t xml:space="preserve">AIZUDDIN ARIFFIN </t>
  </si>
  <si>
    <t>AMIRUDDIN BIN HAMZAH</t>
  </si>
  <si>
    <t>83.2%</t>
  </si>
  <si>
    <t>007</t>
  </si>
  <si>
    <t>007 PADANG TERAP</t>
  </si>
  <si>
    <t xml:space="preserve">USTAZ NURUL AMIN </t>
  </si>
  <si>
    <t xml:space="preserve">MAHDZIR KHALID </t>
  </si>
  <si>
    <t xml:space="preserve">MUAZ ABDULLAH </t>
  </si>
  <si>
    <t>MAHDZIR BIN KHALID</t>
  </si>
  <si>
    <t>85.6%</t>
  </si>
  <si>
    <t>008</t>
  </si>
  <si>
    <t>008 POKOK SENA</t>
  </si>
  <si>
    <t xml:space="preserve">DATO' AHMAD YAHAYA </t>
  </si>
  <si>
    <t xml:space="preserve">NORAN ZAMINI BIN JAMALUDDIN </t>
  </si>
  <si>
    <t xml:space="preserve">DATO' WIRA HJ MAHFUZ OMAR </t>
  </si>
  <si>
    <t>PH-AMANAH</t>
  </si>
  <si>
    <t>MAHFUZ BIN OMAR</t>
  </si>
  <si>
    <t>009</t>
  </si>
  <si>
    <t>009 ALOR SETAR</t>
  </si>
  <si>
    <t xml:space="preserve">AFNAN HAMIMI BIN DATO' HJ TAIB AZAMUDDIN </t>
  </si>
  <si>
    <t xml:space="preserve"> MCA</t>
  </si>
  <si>
    <t xml:space="preserve">TAN CHEE HIONG </t>
  </si>
  <si>
    <t xml:space="preserve">SIMON OOI TZE MIN </t>
  </si>
  <si>
    <t>CHAN MING KAI</t>
  </si>
  <si>
    <t>81.1%</t>
  </si>
  <si>
    <t>MCA</t>
  </si>
  <si>
    <t>010</t>
  </si>
  <si>
    <t>010 KUALA KEDAH</t>
  </si>
  <si>
    <t xml:space="preserve">DR. AHMAD FAKHRUDDIN </t>
  </si>
  <si>
    <t xml:space="preserve">DATO' DR MASHITAH BINTI IBRAHIM </t>
  </si>
  <si>
    <t xml:space="preserve">DR AZMAN ISMAIL </t>
  </si>
  <si>
    <t>AZMAN BIN ISMAIL</t>
  </si>
  <si>
    <t>82.4%</t>
  </si>
  <si>
    <t>011</t>
  </si>
  <si>
    <t>011 PENDANG</t>
  </si>
  <si>
    <t xml:space="preserve">DATUK HAJI AWANG SOLAHUDIN </t>
  </si>
  <si>
    <t xml:space="preserve">SURAYA BINTI YAACOB </t>
  </si>
  <si>
    <t xml:space="preserve">DATO' ZUL </t>
  </si>
  <si>
    <t>PAS</t>
  </si>
  <si>
    <t>AWANG BIN HASHIM</t>
  </si>
  <si>
    <t>84.6%</t>
  </si>
  <si>
    <t>012</t>
  </si>
  <si>
    <t>012 JERAI</t>
  </si>
  <si>
    <t xml:space="preserve">USTAZ SABRI BIN AZIT </t>
  </si>
  <si>
    <t xml:space="preserve">DATO' SERI DR. JAMIL KHIR BIN BAHAROM </t>
  </si>
  <si>
    <t xml:space="preserve"> DAP</t>
  </si>
  <si>
    <t xml:space="preserve">ZULHAZMI BIN SHARIF </t>
  </si>
  <si>
    <t>SABRI BIN AZIT</t>
  </si>
  <si>
    <t>83.7%</t>
  </si>
  <si>
    <t>013</t>
  </si>
  <si>
    <t>013 SIK</t>
  </si>
  <si>
    <t xml:space="preserve">AHMAD TARMIZI SULAIMAN </t>
  </si>
  <si>
    <t xml:space="preserve">MAIZA </t>
  </si>
  <si>
    <t xml:space="preserve">DATO' LATIFAH </t>
  </si>
  <si>
    <t>AHMAD TARMIZI BIN SULAIMAN</t>
  </si>
  <si>
    <t>84.9%</t>
  </si>
  <si>
    <t>014</t>
  </si>
  <si>
    <t>014 MERBOK</t>
  </si>
  <si>
    <t xml:space="preserve">MOHD NAZRI </t>
  </si>
  <si>
    <t xml:space="preserve">DATO' SAIFUL HAZIZY </t>
  </si>
  <si>
    <t xml:space="preserve">NURIN AINA </t>
  </si>
  <si>
    <t>NOR AZRINA BINTI SURIP</t>
  </si>
  <si>
    <t>015</t>
  </si>
  <si>
    <t>015 SUNGAI PETANI</t>
  </si>
  <si>
    <r>
      <rPr>
        <b/>
        <sz val="10"/>
        <color rgb="FFFFFFFF"/>
        <rFont val="Aptos Narrow"/>
        <family val="2"/>
        <scheme val="minor"/>
      </rPr>
      <t>PH</t>
    </r>
  </si>
  <si>
    <t xml:space="preserve">DR. TAUFIQ BIN DATO' JOHARI </t>
  </si>
  <si>
    <t xml:space="preserve">DATO' SHAHANIM BINTI MOHAMAD YUSOFF </t>
  </si>
  <si>
    <t xml:space="preserve">DR ROBERT LING </t>
  </si>
  <si>
    <t>JOHARI BIN ABDUL</t>
  </si>
  <si>
    <t>83.4%</t>
  </si>
  <si>
    <t>016</t>
  </si>
  <si>
    <t>016 BALING</t>
  </si>
  <si>
    <t xml:space="preserve">USTAZ HASSAN </t>
  </si>
  <si>
    <t xml:space="preserve">DATUK AZEEZ RAHIM </t>
  </si>
  <si>
    <t xml:space="preserve">CIKGU JOHARI ABDULLAH </t>
  </si>
  <si>
    <t>ABDUL AZEEZ BIN ABDUL RAHIM</t>
  </si>
  <si>
    <t>85.9%</t>
  </si>
  <si>
    <t>017</t>
  </si>
  <si>
    <t>017 PADANG SERAI</t>
  </si>
  <si>
    <t xml:space="preserve">DATO' CIKGU AZMAN </t>
  </si>
  <si>
    <t xml:space="preserve"> MIC</t>
  </si>
  <si>
    <t xml:space="preserve">DATO' SIVARAJ CHANDRAN </t>
  </si>
  <si>
    <t xml:space="preserve">KARUPAIYA MUTUSAMI </t>
  </si>
  <si>
    <t>KARUPAIYA A/L MUTUSAMI</t>
  </si>
  <si>
    <t>018</t>
  </si>
  <si>
    <t>018 KULIM-BANDAR BAHARU</t>
  </si>
  <si>
    <t xml:space="preserve">CIKGU ROSLAN HASHIM </t>
  </si>
  <si>
    <t xml:space="preserve">DATUK MUHAR BIN HUSSAIN </t>
  </si>
  <si>
    <t xml:space="preserve">DATUK SERI SAIFUDDIN NASUTION ISMAIL </t>
  </si>
  <si>
    <t>SAIFUDDIN NASUTION BIN ISMAIL</t>
  </si>
  <si>
    <t>KELANTAN</t>
  </si>
  <si>
    <t>019</t>
  </si>
  <si>
    <t>019 TUMPAT</t>
  </si>
  <si>
    <t xml:space="preserve">DATO' KAK TAZ </t>
  </si>
  <si>
    <t xml:space="preserve">DATO' CHE LAH (DCL) </t>
  </si>
  <si>
    <t xml:space="preserve">HAJI WAN JO </t>
  </si>
  <si>
    <t>CHE ABDULLAH BIN MAT NAWI</t>
  </si>
  <si>
    <t>80%</t>
  </si>
  <si>
    <t>020</t>
  </si>
  <si>
    <t>020 PENGKALAN CHEPA</t>
  </si>
  <si>
    <t xml:space="preserve">DATUK MARZUK </t>
  </si>
  <si>
    <t xml:space="preserve">DR. HAFIZ </t>
  </si>
  <si>
    <t xml:space="preserve">KAK JAH </t>
  </si>
  <si>
    <t>AHMAD MARZUK BIN SHAARY</t>
  </si>
  <si>
    <t>80.7%</t>
  </si>
  <si>
    <t>021</t>
  </si>
  <si>
    <t>021 KOTA BHARU</t>
  </si>
  <si>
    <t xml:space="preserve">DATUK SERI TAKIYUDDIN </t>
  </si>
  <si>
    <t xml:space="preserve">HJ. ROSMADI ISMAIL </t>
  </si>
  <si>
    <t xml:space="preserve">DR HAFIDZAH </t>
  </si>
  <si>
    <t>TAKIYUDDIN BIN HASSAN</t>
  </si>
  <si>
    <t>77%</t>
  </si>
  <si>
    <t>022</t>
  </si>
  <si>
    <t>022 PASIR MAS</t>
  </si>
  <si>
    <t xml:space="preserve">USTAZ FADHLI SHAARI </t>
  </si>
  <si>
    <t xml:space="preserve">DATO GHANI </t>
  </si>
  <si>
    <t xml:space="preserve">DATUK HUSAM </t>
  </si>
  <si>
    <t>AHMAD FADHLI BIN SHAARI</t>
  </si>
  <si>
    <t>77.7%</t>
  </si>
  <si>
    <t>023</t>
  </si>
  <si>
    <t>023 RANTAU PANJANG</t>
  </si>
  <si>
    <t xml:space="preserve">KAK LAH </t>
  </si>
  <si>
    <t xml:space="preserve">PROF UST ZUL </t>
  </si>
  <si>
    <t xml:space="preserve">DR SHAH </t>
  </si>
  <si>
    <t>SITI ZAILAH BINTI MOHD YUSOFF</t>
  </si>
  <si>
    <t>75.1%</t>
  </si>
  <si>
    <t>024</t>
  </si>
  <si>
    <t>024 KUBANG KERIAN</t>
  </si>
  <si>
    <t xml:space="preserve">USTAZ DATO' TUAN IBRAHIM </t>
  </si>
  <si>
    <t xml:space="preserve">KAK LONG </t>
  </si>
  <si>
    <t xml:space="preserve">DR.WAN AHMAD KAMIL </t>
  </si>
  <si>
    <t>TUAN IBRAHIM BIN TUAN MAN</t>
  </si>
  <si>
    <t>79.1%</t>
  </si>
  <si>
    <t>025</t>
  </si>
  <si>
    <t>025 BACHOK</t>
  </si>
  <si>
    <t xml:space="preserve">SYAHIR SULAIMAN </t>
  </si>
  <si>
    <t xml:space="preserve">DATUK HAJI ZAIN </t>
  </si>
  <si>
    <t xml:space="preserve">NOR AZMIZA MAMAT </t>
  </si>
  <si>
    <t>NIK MOHAMAD ABDUH BIN NIK ABDUL AZIZ</t>
  </si>
  <si>
    <t>82%</t>
  </si>
  <si>
    <t>026</t>
  </si>
  <si>
    <t>026 KETEREH</t>
  </si>
  <si>
    <t xml:space="preserve">MEJ JEN DATO HJ KHLIR (B) </t>
  </si>
  <si>
    <t xml:space="preserve">MARZUANI ARDILA ARIFFIN (GEE) </t>
  </si>
  <si>
    <t xml:space="preserve">HAJI RAHIMI </t>
  </si>
  <si>
    <t>ANNUAR BIN MUSA</t>
  </si>
  <si>
    <t>027</t>
  </si>
  <si>
    <t>027 TANAH MERAH</t>
  </si>
  <si>
    <t xml:space="preserve">DATO' SRI IKMAL HISHAM </t>
  </si>
  <si>
    <t xml:space="preserve">CIKGU BAKRI </t>
  </si>
  <si>
    <t xml:space="preserve">DATO' D </t>
  </si>
  <si>
    <t>IKMAL HISHAM BIN ABDUL AZIZ</t>
  </si>
  <si>
    <t>81.4%</t>
  </si>
  <si>
    <t>028</t>
  </si>
  <si>
    <t>028 PASIR PUTEH</t>
  </si>
  <si>
    <t xml:space="preserve">USTAZ NIK ZAWAWI </t>
  </si>
  <si>
    <t xml:space="preserve">ZAWAWI BIN OTHMAN </t>
  </si>
  <si>
    <t xml:space="preserve"> AMANAH</t>
  </si>
  <si>
    <t xml:space="preserve">USTAZ MUHAMMAD HUSAIN </t>
  </si>
  <si>
    <t>NIK MUHAMMAD ZAWAWI BIN SALLEH</t>
  </si>
  <si>
    <t>029</t>
  </si>
  <si>
    <t>029 MACHANG</t>
  </si>
  <si>
    <t xml:space="preserve">WAN AHMAD FAYHSAL </t>
  </si>
  <si>
    <t xml:space="preserve">AHMAD JAZLAN  BIN YAAKUB </t>
  </si>
  <si>
    <t xml:space="preserve">DR ROSLI </t>
  </si>
  <si>
    <t>AHMAD JAZLAN BIN YAAKUB</t>
  </si>
  <si>
    <t>030</t>
  </si>
  <si>
    <t>030 JELI</t>
  </si>
  <si>
    <t xml:space="preserve">POK ZAHARI </t>
  </si>
  <si>
    <t xml:space="preserve">NORWAHIDA BINTI PATUAN </t>
  </si>
  <si>
    <t xml:space="preserve">MD RADZI </t>
  </si>
  <si>
    <t>MUSTAPA BIN MOHAMED</t>
  </si>
  <si>
    <t>83.5%</t>
  </si>
  <si>
    <t>031</t>
  </si>
  <si>
    <t>031 KUALA KRAI</t>
  </si>
  <si>
    <t xml:space="preserve">USTAZ LATIFF </t>
  </si>
  <si>
    <t xml:space="preserve">ZUKI </t>
  </si>
  <si>
    <t xml:space="preserve">SYAM GHAZ </t>
  </si>
  <si>
    <t>ABDUL LATIFF BIN ABDUL RAHMAN</t>
  </si>
  <si>
    <t>032</t>
  </si>
  <si>
    <t>032 GUA MUSANG</t>
  </si>
  <si>
    <t xml:space="preserve">MOHD AZIZI ABU NAIM </t>
  </si>
  <si>
    <t xml:space="preserve">TENGKU RAZALEIGH HAMZAH </t>
  </si>
  <si>
    <t xml:space="preserve">ABE YO </t>
  </si>
  <si>
    <t>TENGKU RAZALEIGH BIN TENGKU MOHD HAMZAH</t>
  </si>
  <si>
    <t>78.5%</t>
  </si>
  <si>
    <t>TERENGGANU</t>
  </si>
  <si>
    <t>033</t>
  </si>
  <si>
    <t>033 BESUT</t>
  </si>
  <si>
    <t xml:space="preserve">DATUK ABE ZUL </t>
  </si>
  <si>
    <t xml:space="preserve">DATUK HJ NAWI BIN MOHAMAD </t>
  </si>
  <si>
    <t xml:space="preserve">USTAZ AZIZ </t>
  </si>
  <si>
    <t>IDRIS BIN JUSOH</t>
  </si>
  <si>
    <t>034</t>
  </si>
  <si>
    <t>034 SETIU</t>
  </si>
  <si>
    <t xml:space="preserve">USTAZ ZUKIRNAIN ABD KADIR </t>
  </si>
  <si>
    <t xml:space="preserve">ABDUL RAHMAN BIN YASSIN </t>
  </si>
  <si>
    <t xml:space="preserve">MOHAMAD BIN NGAH </t>
  </si>
  <si>
    <t>SHAHARIZUKIRNAIN BIN ABD KADIR</t>
  </si>
  <si>
    <t>85.4%</t>
  </si>
  <si>
    <t>035</t>
  </si>
  <si>
    <t>035 KUALA NERUS</t>
  </si>
  <si>
    <t xml:space="preserve">DATO' DR. HJ ALIAS RAZAK </t>
  </si>
  <si>
    <t xml:space="preserve">UST. DATO' DR. KHAIRUDDIN TAKIRI </t>
  </si>
  <si>
    <t xml:space="preserve">DATUK SERI SUHAIMI HASHIM </t>
  </si>
  <si>
    <t>MOHD KHAIRUDDIN BIN AMAN RAZALI</t>
  </si>
  <si>
    <t>87.5%</t>
  </si>
  <si>
    <t>036</t>
  </si>
  <si>
    <t>036 KUALA TERENGGANU</t>
  </si>
  <si>
    <t xml:space="preserve">DATUK HAJI AMZAD HASHIM </t>
  </si>
  <si>
    <t xml:space="preserve">DATO' CIKGU ZUBIR </t>
  </si>
  <si>
    <t xml:space="preserve">DATO' RAJA BAHRIN </t>
  </si>
  <si>
    <t>AHMAD AMZAD BIN MOHAMED @ HASHIM</t>
  </si>
  <si>
    <t>84.7%</t>
  </si>
  <si>
    <t>037</t>
  </si>
  <si>
    <t>037 MARANG</t>
  </si>
  <si>
    <t xml:space="preserve">TUAN GURU HAJI ABDUL HADI AWANG </t>
  </si>
  <si>
    <t xml:space="preserve">JASMIRA BIN OTHMAN </t>
  </si>
  <si>
    <t xml:space="preserve">USTAZ AZHAR </t>
  </si>
  <si>
    <t>ABDUL HADI BIN AWANG</t>
  </si>
  <si>
    <t>87.7%</t>
  </si>
  <si>
    <t>038</t>
  </si>
  <si>
    <t>038 HULU TERENGGANU</t>
  </si>
  <si>
    <t xml:space="preserve">DATUK ROSOL WAHID </t>
  </si>
  <si>
    <t xml:space="preserve">CIKGU ROZI </t>
  </si>
  <si>
    <t xml:space="preserve">CIKGU ALIAS ISMAIL </t>
  </si>
  <si>
    <t>ROSOL BIN WAHID</t>
  </si>
  <si>
    <t>86.3%</t>
  </si>
  <si>
    <t>039</t>
  </si>
  <si>
    <t>039 DUNGUN</t>
  </si>
  <si>
    <t xml:space="preserve">USTAZ HAJI WAN HASSAN </t>
  </si>
  <si>
    <t xml:space="preserve">USTAZ SHAM </t>
  </si>
  <si>
    <t xml:space="preserve">DATO' DR MOHD JOHAR </t>
  </si>
  <si>
    <t>WAN HASSAN BIN MOHD RAMLI</t>
  </si>
  <si>
    <t>84.8%</t>
  </si>
  <si>
    <t>040</t>
  </si>
  <si>
    <t>040 KEMAMAN</t>
  </si>
  <si>
    <t xml:space="preserve">USTAZ CHE ALIAS HAMID </t>
  </si>
  <si>
    <t xml:space="preserve">DATO' SERI AHMAD BIN SAID </t>
  </si>
  <si>
    <t xml:space="preserve">HASUNI BIN SUDIN </t>
  </si>
  <si>
    <t>CHE ALIAS BIN HAMID</t>
  </si>
  <si>
    <t>85.5%</t>
  </si>
  <si>
    <t>PULAU PINANG</t>
  </si>
  <si>
    <t>041</t>
  </si>
  <si>
    <t>041 KEPALA BATAS</t>
  </si>
  <si>
    <t xml:space="preserve">DR USTAZAH MASTURA </t>
  </si>
  <si>
    <t xml:space="preserve">DATO' SRI REEZAL MERICAN BIN NAINA MERICAN </t>
  </si>
  <si>
    <t>REEZAL MERICAN BIN NAINA MERICAN</t>
  </si>
  <si>
    <t>87.8%</t>
  </si>
  <si>
    <t>042</t>
  </si>
  <si>
    <t>042 TASEK GELUGOR</t>
  </si>
  <si>
    <t xml:space="preserve">DATUK WAN SAIFUL WAN JAN </t>
  </si>
  <si>
    <t xml:space="preserve">MUHAMAD YUSOFF BIN MOHD NOOR (YB CHOP) </t>
  </si>
  <si>
    <t xml:space="preserve">RAZAK RIDZUAN </t>
  </si>
  <si>
    <t>SHABUDIN BIN YAHAYA</t>
  </si>
  <si>
    <t>86.9%</t>
  </si>
  <si>
    <t>043</t>
  </si>
  <si>
    <t>043 BAGAN</t>
  </si>
  <si>
    <t xml:space="preserve">LIM GUAN ENG </t>
  </si>
  <si>
    <t xml:space="preserve">TAN CHUAN HONG </t>
  </si>
  <si>
    <t xml:space="preserve">PPBM-BERSEKUTU </t>
  </si>
  <si>
    <t xml:space="preserve">ALAN OH </t>
  </si>
  <si>
    <t>PH-DAP</t>
  </si>
  <si>
    <t>LIM GUAN ENG</t>
  </si>
  <si>
    <t>DAP</t>
  </si>
  <si>
    <t>044</t>
  </si>
  <si>
    <t>044 PERMATANG PAUH</t>
  </si>
  <si>
    <t xml:space="preserve">UST FAWWAZ MD JAN </t>
  </si>
  <si>
    <t xml:space="preserve">DATUK ZAIDI </t>
  </si>
  <si>
    <t xml:space="preserve">NURUL IZZAH ANWAR </t>
  </si>
  <si>
    <t>NURUL IZZAH BINTI ANWAR</t>
  </si>
  <si>
    <t>86.4%</t>
  </si>
  <si>
    <t>045</t>
  </si>
  <si>
    <t>045 BUKIT MERTAJAM</t>
  </si>
  <si>
    <t xml:space="preserve">STEVEN SIM CHEE KEONG </t>
  </si>
  <si>
    <t xml:space="preserve">AH PANG </t>
  </si>
  <si>
    <t xml:space="preserve">STEVEN KOH </t>
  </si>
  <si>
    <t>SIM CHEE KEONG</t>
  </si>
  <si>
    <t>046</t>
  </si>
  <si>
    <t>046 BATU KAWAN</t>
  </si>
  <si>
    <t xml:space="preserve">CHOW KON YEOW </t>
  </si>
  <si>
    <t xml:space="preserve">TAN LEE HUAT </t>
  </si>
  <si>
    <t>GERAKAN</t>
  </si>
  <si>
    <t xml:space="preserve">WONG CHIA ZHEIN </t>
  </si>
  <si>
    <t>KASTHURIRAANI A/P PATTO</t>
  </si>
  <si>
    <t>047</t>
  </si>
  <si>
    <t>047 NIBONG TEBAL</t>
  </si>
  <si>
    <t xml:space="preserve">FADHLINA BINTI SIDEK </t>
  </si>
  <si>
    <t xml:space="preserve"> MAKKAL SAKTI</t>
  </si>
  <si>
    <t xml:space="preserve">DATUK SERI THANENTHIRAN </t>
  </si>
  <si>
    <t xml:space="preserve">DATO' MANSOR BIN OTHMAN </t>
  </si>
  <si>
    <t>MANSOR BIN OTHMAN</t>
  </si>
  <si>
    <t>86.1%</t>
  </si>
  <si>
    <t>048</t>
  </si>
  <si>
    <t>048 BUKIT BENDERA</t>
  </si>
  <si>
    <t xml:space="preserve">SYERLEENA ABDUL RASHID </t>
  </si>
  <si>
    <t xml:space="preserve"> PCM</t>
  </si>
  <si>
    <t xml:space="preserve">RICHIE HUAN XIN YUN </t>
  </si>
  <si>
    <t xml:space="preserve">HNG CHEE WEY </t>
  </si>
  <si>
    <t>WONG HON WAI</t>
  </si>
  <si>
    <t>80.5%</t>
  </si>
  <si>
    <t>049</t>
  </si>
  <si>
    <t>049 TANJONG</t>
  </si>
  <si>
    <t xml:space="preserve">LIM HUI YING </t>
  </si>
  <si>
    <t xml:space="preserve">TAN KIM NEE </t>
  </si>
  <si>
    <t xml:space="preserve">AH LENG </t>
  </si>
  <si>
    <t>CHOW KON YEOW</t>
  </si>
  <si>
    <t>80.9%</t>
  </si>
  <si>
    <t>050</t>
  </si>
  <si>
    <t>050 JELUTONG</t>
  </si>
  <si>
    <t xml:space="preserve">SANISVARA NETHAJI RAYER (RSN RAYER) </t>
  </si>
  <si>
    <t xml:space="preserve"> IPF</t>
  </si>
  <si>
    <t xml:space="preserve">DATUK LOGANATHAN A/L THORAISAMY </t>
  </si>
  <si>
    <t xml:space="preserve"> GERAKAN</t>
  </si>
  <si>
    <t xml:space="preserve">BALJIT SINGH </t>
  </si>
  <si>
    <t>SANISVARA NETHAJI RAYER A/L RAJAJI</t>
  </si>
  <si>
    <t>051</t>
  </si>
  <si>
    <t>051 BUKIT GELUGOR</t>
  </si>
  <si>
    <t xml:space="preserve">RAMKARPAL SINGH </t>
  </si>
  <si>
    <t xml:space="preserve">WONG CHING CHONG </t>
  </si>
  <si>
    <t xml:space="preserve">P.THINAGARANABHAN </t>
  </si>
  <si>
    <t>RAMKARPAL SINGH A/L KARPAL SINGH</t>
  </si>
  <si>
    <t>052</t>
  </si>
  <si>
    <t>052 BAYAN BARU</t>
  </si>
  <si>
    <t xml:space="preserve">SIM TZE TZIN </t>
  </si>
  <si>
    <t xml:space="preserve">SAW YEE FUNG </t>
  </si>
  <si>
    <t xml:space="preserve">OH TONG KEONG </t>
  </si>
  <si>
    <t>SIM TZE TZIN</t>
  </si>
  <si>
    <t>83.6%</t>
  </si>
  <si>
    <t>053</t>
  </si>
  <si>
    <t>053 BALIK PULAU</t>
  </si>
  <si>
    <t xml:space="preserve">MOHAMAD BAKHTIAR WAN CHIK </t>
  </si>
  <si>
    <t xml:space="preserve">DATUK SHAH HEADAN BIN AYOOB HUSSAIN SHAH </t>
  </si>
  <si>
    <t xml:space="preserve">HARRIS IDAHAM RASHID </t>
  </si>
  <si>
    <t>MUHAMMAD BAKHTIAR BIN WAN CHIK</t>
  </si>
  <si>
    <t>PERAK</t>
  </si>
  <si>
    <t>054</t>
  </si>
  <si>
    <t>054 GERIK</t>
  </si>
  <si>
    <t xml:space="preserve">FATHUL HUZIR  AYOB </t>
  </si>
  <si>
    <t xml:space="preserve">DR ASYRAF WAJDI DUSUKI </t>
  </si>
  <si>
    <t xml:space="preserve"> PH</t>
  </si>
  <si>
    <t xml:space="preserve">TARMIZI MOHD JAM </t>
  </si>
  <si>
    <t>HASBULLAH BIN OSMAN</t>
  </si>
  <si>
    <t>78.1%</t>
  </si>
  <si>
    <t>055</t>
  </si>
  <si>
    <t>055 LENGGONG</t>
  </si>
  <si>
    <r>
      <rPr>
        <b/>
        <sz val="10"/>
        <color rgb="FFFFFFFF"/>
        <rFont val="Aptos Narrow"/>
        <family val="2"/>
        <scheme val="minor"/>
      </rPr>
      <t>BN</t>
    </r>
  </si>
  <si>
    <t xml:space="preserve">DR SHAMSUL ANUAR NASARAH </t>
  </si>
  <si>
    <t xml:space="preserve">JUREY LATIFF BIN MOHD ROSLI </t>
  </si>
  <si>
    <t xml:space="preserve">MUHAMMAD RIFAAT RAZMAN </t>
  </si>
  <si>
    <t>SHAMSUL ANUAR BIN NASARAH</t>
  </si>
  <si>
    <t>79.7%</t>
  </si>
  <si>
    <t>056</t>
  </si>
  <si>
    <t>056 LARUT</t>
  </si>
  <si>
    <t xml:space="preserve">DATO’ SERI HAMZAH BIN ZAINUDIN </t>
  </si>
  <si>
    <t xml:space="preserve">MOHD SHAFIQ FADHLY BIN MAHMUD </t>
  </si>
  <si>
    <t xml:space="preserve">USTAZ ZOLKHARNAIN BIN ABIDIN </t>
  </si>
  <si>
    <t>HAMZAH BIN ZAINUDIN</t>
  </si>
  <si>
    <t>81.8%</t>
  </si>
  <si>
    <t>057</t>
  </si>
  <si>
    <t>057 PARIT BUNTAR</t>
  </si>
  <si>
    <t xml:space="preserve">USTAZ MISBAH </t>
  </si>
  <si>
    <t xml:space="preserve">CIKGU IMRAN </t>
  </si>
  <si>
    <t xml:space="preserve">DATUK SERI DR MUJAHID YUSOF RAWA </t>
  </si>
  <si>
    <t>MUJAHID BIN YUSOF</t>
  </si>
  <si>
    <t>058</t>
  </si>
  <si>
    <t>058 BAGAN SERAI</t>
  </si>
  <si>
    <t xml:space="preserve">DATUK IDRIS AHMAD </t>
  </si>
  <si>
    <t xml:space="preserve">ZUL HELMI BIN GHAZALI </t>
  </si>
  <si>
    <t xml:space="preserve">SITI AISHAH SHAIK ISMAIL </t>
  </si>
  <si>
    <t>NOOR AZMI BIN GHAZALI</t>
  </si>
  <si>
    <t>81.6%</t>
  </si>
  <si>
    <t>059</t>
  </si>
  <si>
    <t>059 BUKIT GANTANG</t>
  </si>
  <si>
    <t xml:space="preserve">DATO' SYED ABU HUSSIN </t>
  </si>
  <si>
    <t xml:space="preserve">MOHAMMAD SOLLEHIN </t>
  </si>
  <si>
    <t xml:space="preserve">DR. FAKHRULDIN MOHD HASHIM </t>
  </si>
  <si>
    <t>SYED ABU HUSSIN BIN HAFIZ SYED ABDUL FASAL</t>
  </si>
  <si>
    <t>060</t>
  </si>
  <si>
    <t>060 TAIPING</t>
  </si>
  <si>
    <t xml:space="preserve">WONG KAH WOH </t>
  </si>
  <si>
    <t xml:space="preserve">NEOW CHOO SEONG </t>
  </si>
  <si>
    <t xml:space="preserve">DATO’ SEE TEAN SENG </t>
  </si>
  <si>
    <t>TEH KOK LIM</t>
  </si>
  <si>
    <t>78.6%</t>
  </si>
  <si>
    <t>061</t>
  </si>
  <si>
    <t>061 PADANG RENGAS</t>
  </si>
  <si>
    <t xml:space="preserve">KAPTEN AZAHARI </t>
  </si>
  <si>
    <t xml:space="preserve">MOHD ARRIF BIN ABDUL MAJID </t>
  </si>
  <si>
    <t xml:space="preserve">KAMIL MUNIM </t>
  </si>
  <si>
    <t>MOHAMED NAZRI BIN ABDUL AZIZ</t>
  </si>
  <si>
    <t>82.9%</t>
  </si>
  <si>
    <t>062</t>
  </si>
  <si>
    <t>062 SUNGAI SIPUT</t>
  </si>
  <si>
    <t xml:space="preserve">S. KESAVAN </t>
  </si>
  <si>
    <t xml:space="preserve">TAN SRI SA. VIGNESWARAN (TSV) </t>
  </si>
  <si>
    <t xml:space="preserve">DATO' SERI IRUDIANATHAN A/L GABRIEL </t>
  </si>
  <si>
    <t>KESAVAN A/L SUBRAMANIAM</t>
  </si>
  <si>
    <t>79.4%</t>
  </si>
  <si>
    <t>MIC</t>
  </si>
  <si>
    <t>063</t>
  </si>
  <si>
    <t>063 TAMBUN</t>
  </si>
  <si>
    <t xml:space="preserve">ANWAR IBRAHIM </t>
  </si>
  <si>
    <t xml:space="preserve">AMINUDDIN BIN MD HANAFIAH </t>
  </si>
  <si>
    <t xml:space="preserve">AHMAD FAIZAL AZUMU @ PEJA </t>
  </si>
  <si>
    <t>AHMAD FAIZAL BIN AZUMU</t>
  </si>
  <si>
    <t>82.5%</t>
  </si>
  <si>
    <t>064</t>
  </si>
  <si>
    <t>064 IPOH TIMOR</t>
  </si>
  <si>
    <t xml:space="preserve">HOWARD LEE CHUAN HOW </t>
  </si>
  <si>
    <t xml:space="preserve">NG KAI CHEONG </t>
  </si>
  <si>
    <t xml:space="preserve">NOR AFZAINIZAM BIN SALLEH </t>
  </si>
  <si>
    <t>WONG KAH WOH</t>
  </si>
  <si>
    <t>78.4%</t>
  </si>
  <si>
    <t>065</t>
  </si>
  <si>
    <t>065 IPOH BARAT</t>
  </si>
  <si>
    <t xml:space="preserve">M. KULA </t>
  </si>
  <si>
    <t xml:space="preserve">AH NAN </t>
  </si>
  <si>
    <t xml:space="preserve">CHEK KWONG WENG </t>
  </si>
  <si>
    <t>M.KULASEGARAN A/L V.MURUGESON</t>
  </si>
  <si>
    <t>78.8%</t>
  </si>
  <si>
    <t>066</t>
  </si>
  <si>
    <t>066 BATU GAJAH</t>
  </si>
  <si>
    <t xml:space="preserve">V. SIVAKUMAR </t>
  </si>
  <si>
    <t xml:space="preserve">TEOH CHIN CHONG </t>
  </si>
  <si>
    <t xml:space="preserve">WOO CHEONG YUEN </t>
  </si>
  <si>
    <t>SIVAKUMAR A/L VARATHARAJU NAIDU</t>
  </si>
  <si>
    <t>067</t>
  </si>
  <si>
    <t>067 KUALA KANGSAR</t>
  </si>
  <si>
    <t xml:space="preserve">ISKANDAR DZULKARNAIN </t>
  </si>
  <si>
    <t xml:space="preserve">MASLIN SHAM BIN RAZMAN </t>
  </si>
  <si>
    <t xml:space="preserve">DR. AHMAD TERMIZI RAMLI </t>
  </si>
  <si>
    <t>MASTURA BINTI MOHD YAZID</t>
  </si>
  <si>
    <t>83.1%</t>
  </si>
  <si>
    <t>068</t>
  </si>
  <si>
    <t>068 BERUAS</t>
  </si>
  <si>
    <t xml:space="preserve">DATO' NGEH KOO HAM </t>
  </si>
  <si>
    <t xml:space="preserve">DING SIEW CHEE </t>
  </si>
  <si>
    <t xml:space="preserve">IR. ONG KEAN SING </t>
  </si>
  <si>
    <t>NGEH KOO HAM</t>
  </si>
  <si>
    <t>77.2%</t>
  </si>
  <si>
    <t>069</t>
  </si>
  <si>
    <t>069 PARIT</t>
  </si>
  <si>
    <t xml:space="preserve">USTAZ ISMI TAIB </t>
  </si>
  <si>
    <t xml:space="preserve">DATO'  NIZAR </t>
  </si>
  <si>
    <t xml:space="preserve">NURTHAQAFFAH NORDIN </t>
  </si>
  <si>
    <t>MOHD NIZAR BIN ZAKARIA</t>
  </si>
  <si>
    <t>82.3%</t>
  </si>
  <si>
    <t>070</t>
  </si>
  <si>
    <t>070 KAMPAR</t>
  </si>
  <si>
    <t xml:space="preserve">CHONG ZHEMIN </t>
  </si>
  <si>
    <t xml:space="preserve">LEE CHEE LEONG </t>
  </si>
  <si>
    <t xml:space="preserve">JANICE WONG </t>
  </si>
  <si>
    <t>SU KEONG SIONG</t>
  </si>
  <si>
    <t>77.1%</t>
  </si>
  <si>
    <t>071</t>
  </si>
  <si>
    <t>071 GOPENG</t>
  </si>
  <si>
    <t xml:space="preserve">TAN KAR HING </t>
  </si>
  <si>
    <t xml:space="preserve">CALLY TING </t>
  </si>
  <si>
    <t xml:space="preserve">MUHAMMAD FARHAN BIN ABDUL RAHIM </t>
  </si>
  <si>
    <t>LEE BOON CHYE</t>
  </si>
  <si>
    <t>072</t>
  </si>
  <si>
    <t>072 TAPAH</t>
  </si>
  <si>
    <t xml:space="preserve">DATUK SERI M. SARAVANAN </t>
  </si>
  <si>
    <t xml:space="preserve">SARASWATHY KANDASAMI </t>
  </si>
  <si>
    <t xml:space="preserve">DATUK HAJI MUHAMMAD YADZAN BIN HAJI MOHAMMAD </t>
  </si>
  <si>
    <t>BN-MIC</t>
  </si>
  <si>
    <t>SARAVANAN A/L MURUGAN</t>
  </si>
  <si>
    <t>78.7%</t>
  </si>
  <si>
    <t>073</t>
  </si>
  <si>
    <t>073 PASIR SALAK</t>
  </si>
  <si>
    <t xml:space="preserve">USTAZ JAMALUDDIN BIN YAHYA </t>
  </si>
  <si>
    <t xml:space="preserve">KHAIRUL AZWAN BIN HARUN </t>
  </si>
  <si>
    <t xml:space="preserve">USTAZ NIK OMAR </t>
  </si>
  <si>
    <t>TAJUDDIN BIN ABDUL RAHMAN</t>
  </si>
  <si>
    <t>074</t>
  </si>
  <si>
    <t>074 LUMUT</t>
  </si>
  <si>
    <t xml:space="preserve">KOMANDER (B) NORDIN </t>
  </si>
  <si>
    <t xml:space="preserve">DR ZAMBRY BIN ABD KADIR </t>
  </si>
  <si>
    <t xml:space="preserve">DR HATTA RAMLI </t>
  </si>
  <si>
    <t>MOHD HATTA BIN MD RAMLI</t>
  </si>
  <si>
    <t>075</t>
  </si>
  <si>
    <t>075 BAGAN DATUK</t>
  </si>
  <si>
    <t xml:space="preserve">ZAHID HAMIDI </t>
  </si>
  <si>
    <t xml:space="preserve">DATUK SERI HAJI SHAMSUL ISKANDAR </t>
  </si>
  <si>
    <t xml:space="preserve">DR. FAIZ NA'AMAN </t>
  </si>
  <si>
    <t>AHMAD ZAHID BIN HAMIDI</t>
  </si>
  <si>
    <t>79.9%</t>
  </si>
  <si>
    <t>076</t>
  </si>
  <si>
    <t>076 TELUK INTAN</t>
  </si>
  <si>
    <t xml:space="preserve">NGA KOR MING </t>
  </si>
  <si>
    <t xml:space="preserve">DATO T. MURUGIAH </t>
  </si>
  <si>
    <t xml:space="preserve">ZAINOL FADZI PAHARUDIN </t>
  </si>
  <si>
    <t>NGA KOR MING</t>
  </si>
  <si>
    <t>82.1%</t>
  </si>
  <si>
    <t>077</t>
  </si>
  <si>
    <t>077 TANJONG MALIM</t>
  </si>
  <si>
    <t xml:space="preserve">CHANG LIH KANG </t>
  </si>
  <si>
    <t xml:space="preserve">DR MAH HANG SOON </t>
  </si>
  <si>
    <t xml:space="preserve">NOLEE RADZI </t>
  </si>
  <si>
    <t>CHANG LIH KANG</t>
  </si>
  <si>
    <t>PAHANG</t>
  </si>
  <si>
    <t>078</t>
  </si>
  <si>
    <t>078 CAMERON HIGHLANDS</t>
  </si>
  <si>
    <t xml:space="preserve">DATO' RAMLI BIN MOHD NOR </t>
  </si>
  <si>
    <t xml:space="preserve">CHIONG YOKE KONG </t>
  </si>
  <si>
    <t xml:space="preserve">DR.ABDUL RASID </t>
  </si>
  <si>
    <t>SIVARAJ A/L CHANDRAN</t>
  </si>
  <si>
    <t>79%</t>
  </si>
  <si>
    <t>079</t>
  </si>
  <si>
    <t>079 LIPIS</t>
  </si>
  <si>
    <t xml:space="preserve">DATO SRI ABDUL RAHMAN BIN MOHAMAD </t>
  </si>
  <si>
    <t xml:space="preserve">TENGKU ZULPURI SHAH BIN RAJA PUJI </t>
  </si>
  <si>
    <t xml:space="preserve">DATO' SHAHRUM </t>
  </si>
  <si>
    <t>ABDUL RAHMAN BIN MOHAMAD</t>
  </si>
  <si>
    <t>080</t>
  </si>
  <si>
    <t>080 RAUB</t>
  </si>
  <si>
    <t xml:space="preserve">CHOW YU HUI </t>
  </si>
  <si>
    <t xml:space="preserve">CHONG SIN WOON </t>
  </si>
  <si>
    <t xml:space="preserve">DATO FAKRUNIZAM IBRAHIM </t>
  </si>
  <si>
    <t>TENGKU ZULPURI SHAH BIN RAJA PUJI</t>
  </si>
  <si>
    <t>081</t>
  </si>
  <si>
    <t>081 JERANTUT</t>
  </si>
  <si>
    <t xml:space="preserve">IR. HAJI KHAIRIL </t>
  </si>
  <si>
    <t xml:space="preserve">DATO' MOHD ZUKARMI </t>
  </si>
  <si>
    <t xml:space="preserve">DATO' DR HASSAN BASRI BIN AWANG MAT DAHAN </t>
  </si>
  <si>
    <t>AHMAD NAZLAN BIN IDRIS</t>
  </si>
  <si>
    <t>80.8%</t>
  </si>
  <si>
    <t>082</t>
  </si>
  <si>
    <t>082 INDERA MAHKOTA</t>
  </si>
  <si>
    <t xml:space="preserve">DATO' SRI SAIFUDDIN ABDULLAH </t>
  </si>
  <si>
    <t xml:space="preserve">DATO' QUEK TAI SEONG </t>
  </si>
  <si>
    <t xml:space="preserve">HAJI ZURAIDI ISMAIL </t>
  </si>
  <si>
    <t>SAIFUDDIN BIN ABDULLAH</t>
  </si>
  <si>
    <t>083</t>
  </si>
  <si>
    <t>083 KUANTAN</t>
  </si>
  <si>
    <t xml:space="preserve">WAN RAZALI WAN NOR </t>
  </si>
  <si>
    <t xml:space="preserve">DATO' SRI AB HAMID BIN MOHD NAZAHAR </t>
  </si>
  <si>
    <t xml:space="preserve">FUZIAH SALLEH </t>
  </si>
  <si>
    <t>FUZIAH BINTI SALLEH</t>
  </si>
  <si>
    <t>084</t>
  </si>
  <si>
    <t>084 PAYA BESAR</t>
  </si>
  <si>
    <t xml:space="preserve">DATO' INDERA MOHD SHAHAR BIN ABDULLAH </t>
  </si>
  <si>
    <t xml:space="preserve">AHMAD AZAM MOHAMAD SALLEH </t>
  </si>
  <si>
    <t xml:space="preserve">USTAZ AIRE ROSLAN </t>
  </si>
  <si>
    <t>MOHD SHAHAR BIN ABDULLAH</t>
  </si>
  <si>
    <t>81.5%</t>
  </si>
  <si>
    <t>085</t>
  </si>
  <si>
    <t>085 PEKAN</t>
  </si>
  <si>
    <t xml:space="preserve">SH MOHMED PUZI BIN SH ALI </t>
  </si>
  <si>
    <t xml:space="preserve">MOHD NAIM BIN ZAINAL ABIDIN </t>
  </si>
  <si>
    <t xml:space="preserve">USTAZ MOHD FADHIL NOOR BIN ABDUL KARIM </t>
  </si>
  <si>
    <t>MOHD NAJIB BIN TUN ABD RAZAK</t>
  </si>
  <si>
    <t>81.3%</t>
  </si>
  <si>
    <t>086</t>
  </si>
  <si>
    <t>086 MARAN</t>
  </si>
  <si>
    <t xml:space="preserve">DATO SRI DR HJ ISMAIL B HJ ABD MUTTALIB </t>
  </si>
  <si>
    <t xml:space="preserve">SHAHANIZA SHAMSUDDIN </t>
  </si>
  <si>
    <t xml:space="preserve">AHMAD SHUHOR </t>
  </si>
  <si>
    <t>ISMAIL BIN ABD. MUTTALIB</t>
  </si>
  <si>
    <t>087</t>
  </si>
  <si>
    <t>087 KUALA KRAU</t>
  </si>
  <si>
    <t xml:space="preserve">USTAZ HAJI KAMAL BIN ASHAARI </t>
  </si>
  <si>
    <t xml:space="preserve">DATO' SRI DR HAJI ISMAIL BIN MOHAMED SAID </t>
  </si>
  <si>
    <t xml:space="preserve">JUHARI OSMAN </t>
  </si>
  <si>
    <t>ISMAIL BIN MOHAMED SAID</t>
  </si>
  <si>
    <t>82.7%</t>
  </si>
  <si>
    <t>088</t>
  </si>
  <si>
    <t>088 TEMERLOH</t>
  </si>
  <si>
    <t xml:space="preserve">HJH SALAMIAH MOHD NOR </t>
  </si>
  <si>
    <t xml:space="preserve">DATO' SRI HJ MOHD SHARKAR </t>
  </si>
  <si>
    <t xml:space="preserve">HASBIE MUDA </t>
  </si>
  <si>
    <t>MOHD. ANUAR BIN MOHD TAHIR</t>
  </si>
  <si>
    <t>089</t>
  </si>
  <si>
    <t>089 BENTONG</t>
  </si>
  <si>
    <t xml:space="preserve">YOUNG SYEFURA BINTI OTHMAN </t>
  </si>
  <si>
    <t xml:space="preserve">TAN SRI LIOW TIONG LAI </t>
  </si>
  <si>
    <t xml:space="preserve">DATUK ROSLAN BIN HASSAN </t>
  </si>
  <si>
    <t>WONG TACK</t>
  </si>
  <si>
    <t>090</t>
  </si>
  <si>
    <t>090 BERA</t>
  </si>
  <si>
    <t xml:space="preserve">ISMAIL SABRI BIN YAAKOB </t>
  </si>
  <si>
    <t xml:space="preserve">HAJI ABAS BIN AWANG </t>
  </si>
  <si>
    <t xml:space="preserve">DATO ASMAWI </t>
  </si>
  <si>
    <t>ISMAIL SABRI BIN YAAKOB</t>
  </si>
  <si>
    <t>091</t>
  </si>
  <si>
    <t>091 ROMPIN</t>
  </si>
  <si>
    <t xml:space="preserve">DATO' KHALIB </t>
  </si>
  <si>
    <t xml:space="preserve">DATO' SRI HASAN BIN ARIFIN </t>
  </si>
  <si>
    <t xml:space="preserve">ERMAN SHAH </t>
  </si>
  <si>
    <t>HASAN BIN ARIFIN</t>
  </si>
  <si>
    <t>82.2%</t>
  </si>
  <si>
    <t>SELANGOR</t>
  </si>
  <si>
    <t>092</t>
  </si>
  <si>
    <t>092 SABAK BERNAM</t>
  </si>
  <si>
    <t xml:space="preserve">CIKGU KALAM BIN SALAN </t>
  </si>
  <si>
    <t xml:space="preserve">ABD RAHMAN BAKRI </t>
  </si>
  <si>
    <t xml:space="preserve">SHAMSUL MAARIF B. ISMAIL </t>
  </si>
  <si>
    <t>MOHD FASIAH BIN MOHD FAKEH</t>
  </si>
  <si>
    <t>83.3%</t>
  </si>
  <si>
    <t>093</t>
  </si>
  <si>
    <t>093 SUNGAI BESAR</t>
  </si>
  <si>
    <t xml:space="preserve">CIKGU MUSLIMIN YAHAYA </t>
  </si>
  <si>
    <t xml:space="preserve">DATO' SRI JAMAL YUNOS </t>
  </si>
  <si>
    <t xml:space="preserve">SALPOLYAZAN BIN MAT YUSOP </t>
  </si>
  <si>
    <t>MUSLIMIN BIN YAHAYA</t>
  </si>
  <si>
    <t>094</t>
  </si>
  <si>
    <t>094 HULU SELANGOR</t>
  </si>
  <si>
    <t xml:space="preserve">HASNIZAN BIN HARUN </t>
  </si>
  <si>
    <t xml:space="preserve">DATUK T.MOHAN </t>
  </si>
  <si>
    <t xml:space="preserve">DR.SATHIA PRAKASH NADARAJAN </t>
  </si>
  <si>
    <t>LEOW HSIAD HUI</t>
  </si>
  <si>
    <t>095</t>
  </si>
  <si>
    <t>095 TANJONG KARANG</t>
  </si>
  <si>
    <t xml:space="preserve">KAPTEN(B) DATO ZULKAFPERI HANAPI </t>
  </si>
  <si>
    <t xml:space="preserve">DATO HABIBAH BINTI MOHD YUSOF </t>
  </si>
  <si>
    <t>NOH BIN OMAR</t>
  </si>
  <si>
    <t>87.3%</t>
  </si>
  <si>
    <t>096</t>
  </si>
  <si>
    <t>096 KUALA SELANGOR</t>
  </si>
  <si>
    <t xml:space="preserve">DATUK SERI DR DZULKEFLY AHMAD </t>
  </si>
  <si>
    <t xml:space="preserve">TENGKU ZAFRUL BIN TENGKU ABDUL AZIZ </t>
  </si>
  <si>
    <t xml:space="preserve">USTAZ MOHD NOOR BIN MOHD SAHAR </t>
  </si>
  <si>
    <t>DZULKEFLY BIN AHMAD</t>
  </si>
  <si>
    <t>097</t>
  </si>
  <si>
    <t>097 SELAYANG</t>
  </si>
  <si>
    <t xml:space="preserve">WILLIAM LEONG JEE KEEN </t>
  </si>
  <si>
    <t xml:space="preserve">CHAN WUN HOONG </t>
  </si>
  <si>
    <t xml:space="preserve">DATO ABDUL RASHID BIN ASARI </t>
  </si>
  <si>
    <t>WILLIAM LEONG JEE KEEN</t>
  </si>
  <si>
    <t>098</t>
  </si>
  <si>
    <t>098 GOMBAK</t>
  </si>
  <si>
    <t xml:space="preserve">AMIRUDDIN SHAARI </t>
  </si>
  <si>
    <t xml:space="preserve">DATO MEGAT ZULKARNAIN BIN OMARDIN </t>
  </si>
  <si>
    <t xml:space="preserve">DATO SERI MOHAMED AZMIN ALI </t>
  </si>
  <si>
    <t>MOHAMED AZMIN BIN ALI</t>
  </si>
  <si>
    <t>099</t>
  </si>
  <si>
    <t>099 AMPANG</t>
  </si>
  <si>
    <t xml:space="preserve">RODZIAH ISMAIL </t>
  </si>
  <si>
    <t xml:space="preserve">IVONE LOW YI WEN </t>
  </si>
  <si>
    <t xml:space="preserve">SASHA LYNA BINTI ABD LATIF </t>
  </si>
  <si>
    <t>ZURAIDA BINTI KAMARUDDIN</t>
  </si>
  <si>
    <t>84.5%</t>
  </si>
  <si>
    <t>100</t>
  </si>
  <si>
    <t>100 PANDAN</t>
  </si>
  <si>
    <t xml:space="preserve">RAFIZI RAMLI </t>
  </si>
  <si>
    <t xml:space="preserve">LEONG KOK WEE </t>
  </si>
  <si>
    <t xml:space="preserve">MUHAMMAD FARIQUE ZUBIR </t>
  </si>
  <si>
    <t>WAN AZIZAH BINTI WAN ISMAIL</t>
  </si>
  <si>
    <t>101</t>
  </si>
  <si>
    <t>101 HULU LANGAT</t>
  </si>
  <si>
    <t xml:space="preserve">YB MOHD SANY HAMZAN </t>
  </si>
  <si>
    <t xml:space="preserve">DATUK WIRA HAJI JOHAN BIN ABD AZIZ </t>
  </si>
  <si>
    <t xml:space="preserve">DATO DR MOHD RADZI ABD LATIF </t>
  </si>
  <si>
    <t>HASANUDDIN BIN MOHD YUNUS</t>
  </si>
  <si>
    <t>102</t>
  </si>
  <si>
    <t>102 BANGI</t>
  </si>
  <si>
    <t xml:space="preserve">SYAHREDZAN JOHAN </t>
  </si>
  <si>
    <t xml:space="preserve">HOH HEE LEE </t>
  </si>
  <si>
    <t xml:space="preserve">NAZRUL NAZIR </t>
  </si>
  <si>
    <t>ONG KIAN MING</t>
  </si>
  <si>
    <t>88.3%</t>
  </si>
  <si>
    <t>103</t>
  </si>
  <si>
    <t>103 PUCHONG</t>
  </si>
  <si>
    <t xml:space="preserve">YEO BEE YIN </t>
  </si>
  <si>
    <t xml:space="preserve"> BN</t>
  </si>
  <si>
    <t xml:space="preserve">DATUK SERI HAJI SYED IBRAHIM </t>
  </si>
  <si>
    <t xml:space="preserve"> PN</t>
  </si>
  <si>
    <t xml:space="preserve">JIMMY CHEW JYH GANG </t>
  </si>
  <si>
    <t>GOBIND SINGH DEO</t>
  </si>
  <si>
    <t>104</t>
  </si>
  <si>
    <t>104 SUBANG</t>
  </si>
  <si>
    <t xml:space="preserve">WONG CHEN </t>
  </si>
  <si>
    <t xml:space="preserve">DR KOW </t>
  </si>
  <si>
    <t xml:space="preserve">ALEX ANG H N </t>
  </si>
  <si>
    <t>WONG CHEN</t>
  </si>
  <si>
    <t>86.7%</t>
  </si>
  <si>
    <t>105</t>
  </si>
  <si>
    <t>105 PETALING JAYA</t>
  </si>
  <si>
    <t xml:space="preserve">LEE CHEAN CHUNG </t>
  </si>
  <si>
    <t xml:space="preserve">CHEW HIAN TAT </t>
  </si>
  <si>
    <t xml:space="preserve">DATO THENG BOOK </t>
  </si>
  <si>
    <t>MARIA CHIN BINTI ABDULLAH</t>
  </si>
  <si>
    <t>106</t>
  </si>
  <si>
    <t>106 DAMANSARA</t>
  </si>
  <si>
    <t xml:space="preserve">GOBIND SINGH DEO </t>
  </si>
  <si>
    <t xml:space="preserve">TAN GIM TUAN GT </t>
  </si>
  <si>
    <t xml:space="preserve">LIM SI CHING </t>
  </si>
  <si>
    <t>PUA KIAM WEE</t>
  </si>
  <si>
    <t>83.8%</t>
  </si>
  <si>
    <t>107</t>
  </si>
  <si>
    <t>107 SUNGAI BULOH</t>
  </si>
  <si>
    <t xml:space="preserve">RAMANAN A/L RAMAKRISHNAN </t>
  </si>
  <si>
    <t xml:space="preserve">KHAIRY JAMALUDIN ABU BAKAR </t>
  </si>
  <si>
    <t xml:space="preserve">HAJI MOHD GHAZALI B MD HAMIN </t>
  </si>
  <si>
    <t>SIVARASA A/L K.RASIAH</t>
  </si>
  <si>
    <t>87%</t>
  </si>
  <si>
    <t>108</t>
  </si>
  <si>
    <t>108 SHAH ALAM</t>
  </si>
  <si>
    <t xml:space="preserve">AZLI YUSOF </t>
  </si>
  <si>
    <t xml:space="preserve">ISHAM JALIL </t>
  </si>
  <si>
    <t xml:space="preserve">DR AFIF BIN BAHARDIN </t>
  </si>
  <si>
    <t>KHALID BIN ABD SAMAD</t>
  </si>
  <si>
    <t>109</t>
  </si>
  <si>
    <t>109 KAPAR</t>
  </si>
  <si>
    <t xml:space="preserve">DR HALIMAH BINTI ALI </t>
  </si>
  <si>
    <t xml:space="preserve">MUHAMMAD BIN NOOR AZMAN </t>
  </si>
  <si>
    <t xml:space="preserve">ABDULLAH SANI </t>
  </si>
  <si>
    <t>ABDULLAH SANI BIN ABDUL HAMID</t>
  </si>
  <si>
    <t>110</t>
  </si>
  <si>
    <t>110 KLANG</t>
  </si>
  <si>
    <t xml:space="preserve">GANABATIRAU A/L VERAMAN </t>
  </si>
  <si>
    <t xml:space="preserve">TEE HOOI LING </t>
  </si>
  <si>
    <t xml:space="preserve"> PPBM-BERSEKUTU </t>
  </si>
  <si>
    <t xml:space="preserve">DR JAYA </t>
  </si>
  <si>
    <t>CHARLES ANTHONY A/L R.SANTIAGO</t>
  </si>
  <si>
    <t>111</t>
  </si>
  <si>
    <t>111 KOTA RAJA</t>
  </si>
  <si>
    <t xml:space="preserve">MOHAMAD SABU </t>
  </si>
  <si>
    <t xml:space="preserve">KAJENDRAN </t>
  </si>
  <si>
    <t xml:space="preserve">HAJI MOHAMED DIAH BAHARUN </t>
  </si>
  <si>
    <t>MOHAMAD BIN SABU</t>
  </si>
  <si>
    <t>86.8%</t>
  </si>
  <si>
    <t>112</t>
  </si>
  <si>
    <t>112 KUALA LANGAT</t>
  </si>
  <si>
    <t xml:space="preserve">DR AHMAD YUNUS HAIRI </t>
  </si>
  <si>
    <t xml:space="preserve">MOHANA MUNIANDY </t>
  </si>
  <si>
    <t xml:space="preserve">MANIVANAN GOWIN </t>
  </si>
  <si>
    <t>XAVIER JAYAKUMAR A/L ARULANANDAM</t>
  </si>
  <si>
    <t>113</t>
  </si>
  <si>
    <t>113 SEPANG</t>
  </si>
  <si>
    <t xml:space="preserve">AIMAN ATHIRAH </t>
  </si>
  <si>
    <t xml:space="preserve">ANUAR BIN BASIRAN </t>
  </si>
  <si>
    <t xml:space="preserve">DATUK SERI RINA HARUN </t>
  </si>
  <si>
    <t>MOHAMED HANIPA BIN MAIDIN</t>
  </si>
  <si>
    <t>88.1%</t>
  </si>
  <si>
    <t>WILAYAH PERSEKUTUAN</t>
  </si>
  <si>
    <t>114</t>
  </si>
  <si>
    <t>114 KEPONG</t>
  </si>
  <si>
    <t xml:space="preserve">LIM LIP ENG </t>
  </si>
  <si>
    <t xml:space="preserve">YAP ZHENG HOE </t>
  </si>
  <si>
    <t xml:space="preserve">PHAANG JING FATT </t>
  </si>
  <si>
    <t>LIM LIP ENG</t>
  </si>
  <si>
    <t>85%</t>
  </si>
  <si>
    <t>115</t>
  </si>
  <si>
    <t>115 BATU</t>
  </si>
  <si>
    <t xml:space="preserve">PRABAKARAN A/L M.PARAMESWARAN </t>
  </si>
  <si>
    <t xml:space="preserve">A.KOHILAN PILLAY A/L G.APPU </t>
  </si>
  <si>
    <t xml:space="preserve">USTAZ AZHAR BIN YAHYA </t>
  </si>
  <si>
    <t>PH-BEBAS</t>
  </si>
  <si>
    <t>PRABAKARAN A/L M PARAMESWARAN</t>
  </si>
  <si>
    <t>BEBAS</t>
  </si>
  <si>
    <t>116</t>
  </si>
  <si>
    <t>116 WANGSA MAJU</t>
  </si>
  <si>
    <t xml:space="preserve">ZAHIR HASSAN </t>
  </si>
  <si>
    <t xml:space="preserve">MOHD SHAFEI BIN ABDULLAH </t>
  </si>
  <si>
    <t xml:space="preserve">USTAZAH NURIDAH </t>
  </si>
  <si>
    <t>DR.TAN YEE KEW</t>
  </si>
  <si>
    <t>84.2%</t>
  </si>
  <si>
    <t>117</t>
  </si>
  <si>
    <t>117 SEGAMBUT</t>
  </si>
  <si>
    <t xml:space="preserve">HANNAH YEOH </t>
  </si>
  <si>
    <t xml:space="preserve">DANIEL LING SIA CHIN </t>
  </si>
  <si>
    <t xml:space="preserve">PRABAGARAN A/L VYTHILINGAM </t>
  </si>
  <si>
    <t>YEOH TSEOW SUAN</t>
  </si>
  <si>
    <t>MYPPP</t>
  </si>
  <si>
    <t>118</t>
  </si>
  <si>
    <t>118 SETIAWANGSA</t>
  </si>
  <si>
    <t xml:space="preserve">NIK NAZMI NIK AHMAD </t>
  </si>
  <si>
    <t xml:space="preserve">IZUDIN BIN ISHAK </t>
  </si>
  <si>
    <t xml:space="preserve">NURUL FADZILAH BINTI KAMALUDDIN </t>
  </si>
  <si>
    <t>NIK NAZMI BIN NIK AHMAD</t>
  </si>
  <si>
    <t>85.8%</t>
  </si>
  <si>
    <t>119</t>
  </si>
  <si>
    <t>119 TITIWANGSA</t>
  </si>
  <si>
    <t xml:space="preserve">DATUK SERI JOHARI GHANI </t>
  </si>
  <si>
    <t xml:space="preserve">KHALID ABD SAMAD </t>
  </si>
  <si>
    <t xml:space="preserve">DR ROSNI  BINTI ADAM </t>
  </si>
  <si>
    <t>RINA BINTI MOHD HARUN</t>
  </si>
  <si>
    <t>120</t>
  </si>
  <si>
    <t>120 BUKIT BINTANG</t>
  </si>
  <si>
    <t xml:space="preserve">FONG KUI LUN </t>
  </si>
  <si>
    <t xml:space="preserve">TAN TEIK PENG </t>
  </si>
  <si>
    <t xml:space="preserve">EDWIN CHEN </t>
  </si>
  <si>
    <t>FONG KUI LUN</t>
  </si>
  <si>
    <t>75.9%</t>
  </si>
  <si>
    <t>121</t>
  </si>
  <si>
    <t>121 LEMBAH PANTAI</t>
  </si>
  <si>
    <t xml:space="preserve">AHMAD FAHMI B MOHAMED FADZIL </t>
  </si>
  <si>
    <t xml:space="preserve">RAMLAN ASKOLANI </t>
  </si>
  <si>
    <t xml:space="preserve">HAJI FAUZI ABU BAKAR </t>
  </si>
  <si>
    <t>AHMAD FAHMI BIN MOHAMED FADZIL</t>
  </si>
  <si>
    <t>122</t>
  </si>
  <si>
    <t>122 SEPUTEH</t>
  </si>
  <si>
    <t xml:space="preserve">TERESA KOK </t>
  </si>
  <si>
    <t xml:space="preserve">LEE KAH HING </t>
  </si>
  <si>
    <t xml:space="preserve">ALAN WONG YEE YENG </t>
  </si>
  <si>
    <t>TERESA KOK SUH SIM</t>
  </si>
  <si>
    <t>123</t>
  </si>
  <si>
    <t>123 CHERAS</t>
  </si>
  <si>
    <t xml:space="preserve">TAN KOK WAI </t>
  </si>
  <si>
    <t xml:space="preserve">CHONG YEW CHUAN </t>
  </si>
  <si>
    <t xml:space="preserve">RUBY CHIN </t>
  </si>
  <si>
    <t>TAN KOK WAI</t>
  </si>
  <si>
    <t>124</t>
  </si>
  <si>
    <t>124 BANDAR TUN RAZAK</t>
  </si>
  <si>
    <t xml:space="preserve">DATO'SERI DR WAN AZIZAH BINTI WAN ISMAIL </t>
  </si>
  <si>
    <t xml:space="preserve">DATUK CHEW YIN KEEN </t>
  </si>
  <si>
    <t xml:space="preserve">DATO KAMARUDIN JAFFAR </t>
  </si>
  <si>
    <t>KAMARUDIN BIN JAFFAR</t>
  </si>
  <si>
    <t>85.1%</t>
  </si>
  <si>
    <t>125</t>
  </si>
  <si>
    <t>125 PUTRAJAYA</t>
  </si>
  <si>
    <t xml:space="preserve">DR RADZI JIDIN (DRJ) </t>
  </si>
  <si>
    <t xml:space="preserve">TENGKU ADNAN BIN TENGKU MANSOR </t>
  </si>
  <si>
    <t xml:space="preserve">NORAISHAH MYDIN BINTI HAJI ABDUL AZIZ </t>
  </si>
  <si>
    <t>TENGKU ADNAN BIN TENGKU MANSOR</t>
  </si>
  <si>
    <t>91.1%</t>
  </si>
  <si>
    <t>NEGERI SEMBILAN</t>
  </si>
  <si>
    <t>126</t>
  </si>
  <si>
    <t>126 JELEBU</t>
  </si>
  <si>
    <t xml:space="preserve">JALALUDDIN BIN ALIAS </t>
  </si>
  <si>
    <t xml:space="preserve">DAT0’ ZULKEFLY MOHAMAD OMAR </t>
  </si>
  <si>
    <t xml:space="preserve">ZAHARUDDIN BABA SAMION </t>
  </si>
  <si>
    <t>JALALUDDIN BIN ALIAS</t>
  </si>
  <si>
    <t>81.9%</t>
  </si>
  <si>
    <t>127</t>
  </si>
  <si>
    <t>127 JEMPOL</t>
  </si>
  <si>
    <t xml:space="preserve">DATO' HJ SHAMSHULKAHAR BIN HAJI MOHD DELI </t>
  </si>
  <si>
    <t xml:space="preserve">NORWANI AHMAT </t>
  </si>
  <si>
    <t xml:space="preserve">AFFENDY SALLEH </t>
  </si>
  <si>
    <t>HAJI MOHD SALIM BIN SHARIF @ MOHD SHARIF</t>
  </si>
  <si>
    <t>128</t>
  </si>
  <si>
    <t>128 SEREMBAN</t>
  </si>
  <si>
    <t xml:space="preserve">LOKE SIEW FOOK </t>
  </si>
  <si>
    <t xml:space="preserve">FELICIA WONG </t>
  </si>
  <si>
    <t xml:space="preserve">HAJI FADLI CHE ME </t>
  </si>
  <si>
    <t>LOKE SIEW FOOK</t>
  </si>
  <si>
    <t>129</t>
  </si>
  <si>
    <t>129 KUALA PILAH</t>
  </si>
  <si>
    <t xml:space="preserve">DATO' HJ ADNAN HJ ABU HASSAN </t>
  </si>
  <si>
    <t xml:space="preserve">NOR AZMAN MOHAMAD </t>
  </si>
  <si>
    <t xml:space="preserve">EDDIN SYAZLEE </t>
  </si>
  <si>
    <t>EDDIN SYAZLEE BIN SHITH</t>
  </si>
  <si>
    <t>130</t>
  </si>
  <si>
    <t>130 RASAH</t>
  </si>
  <si>
    <t xml:space="preserve">CHA KEE CHIN </t>
  </si>
  <si>
    <t xml:space="preserve">NG KIAN NAM </t>
  </si>
  <si>
    <t xml:space="preserve">DAVID CHOONG </t>
  </si>
  <si>
    <t>CHA KEE CHIN</t>
  </si>
  <si>
    <t>84.3%</t>
  </si>
  <si>
    <t>131</t>
  </si>
  <si>
    <t>131 REMBAU</t>
  </si>
  <si>
    <t xml:space="preserve">TOK MAT </t>
  </si>
  <si>
    <t xml:space="preserve">JUFITRI JOHA </t>
  </si>
  <si>
    <t xml:space="preserve">HJ NAZREE YUNUS </t>
  </si>
  <si>
    <t>KHAIRY JAMALUDDIN ABU BAKAR</t>
  </si>
  <si>
    <t>85.2%</t>
  </si>
  <si>
    <t>132</t>
  </si>
  <si>
    <t>132 PORT DICKSON</t>
  </si>
  <si>
    <t xml:space="preserve">DATO' SERI AMINUDDIN BIN HARUN </t>
  </si>
  <si>
    <t xml:space="preserve">DATUK P. KAMALANATHAN </t>
  </si>
  <si>
    <t xml:space="preserve">CIKGU HAJI RAFIEI MUSTAPHA </t>
  </si>
  <si>
    <t>DANYAL BALAGOPAL ABDULLAH</t>
  </si>
  <si>
    <t>133</t>
  </si>
  <si>
    <t>133 TAMPIN</t>
  </si>
  <si>
    <t xml:space="preserve">MOHD ISAM BIN MOHD ISA </t>
  </si>
  <si>
    <t xml:space="preserve">FAIZ FADZIL </t>
  </si>
  <si>
    <t xml:space="preserve">MEJ (B) ABD HALIM </t>
  </si>
  <si>
    <t>HASAN BIN BAHROM</t>
  </si>
  <si>
    <t>MELAKA</t>
  </si>
  <si>
    <t>134</t>
  </si>
  <si>
    <t>134 MASJID TANAH</t>
  </si>
  <si>
    <t xml:space="preserve">MAS ERMIEYATI </t>
  </si>
  <si>
    <t xml:space="preserve">ABDUL HAKIM BIN ABDUL WAHID </t>
  </si>
  <si>
    <t>MAS ERMIEYATI BINTI SAMSUDIN</t>
  </si>
  <si>
    <t>135</t>
  </si>
  <si>
    <t>135 ALOR GAJAH</t>
  </si>
  <si>
    <t xml:space="preserve">ADLY ZAHARI </t>
  </si>
  <si>
    <t xml:space="preserve">SHAHRIL HAMDAN </t>
  </si>
  <si>
    <t xml:space="preserve">PAK WAN (DATUK SERI MOHD REDZUAN BIN MD YUSOF) </t>
  </si>
  <si>
    <t>MOHD REDZUAN BIN MD YUSOF</t>
  </si>
  <si>
    <t>136</t>
  </si>
  <si>
    <t>136 TANGGA BATU</t>
  </si>
  <si>
    <t xml:space="preserve">BAKRI JAMALUDDIN </t>
  </si>
  <si>
    <t xml:space="preserve">DATUK LIM BAN HONG </t>
  </si>
  <si>
    <t xml:space="preserve">PROF. MADYA RUSNAH ALUAI </t>
  </si>
  <si>
    <t>RUSNAH BINTI ALUAI</t>
  </si>
  <si>
    <t>137</t>
  </si>
  <si>
    <t>137 HANG TUAH JAYA</t>
  </si>
  <si>
    <t xml:space="preserve">ADAM ADLI </t>
  </si>
  <si>
    <t xml:space="preserve">MOHD RIDHWAN BIN MOHD ALI </t>
  </si>
  <si>
    <t xml:space="preserve">MOHD AZRUDIN BIN MD IDRIS </t>
  </si>
  <si>
    <t>SHAMSUL ISKANDAR @ YUSRE BIN MOHD AKIN</t>
  </si>
  <si>
    <t>138</t>
  </si>
  <si>
    <t>138 KOTA MELAKA</t>
  </si>
  <si>
    <t xml:space="preserve">KHOO POAY TIONG </t>
  </si>
  <si>
    <t xml:space="preserve">KON QI YAO </t>
  </si>
  <si>
    <t xml:space="preserve">SUHAIME BIN BORHAN </t>
  </si>
  <si>
    <t>KHOO POAY TIONG</t>
  </si>
  <si>
    <t>84.4%</t>
  </si>
  <si>
    <t>139</t>
  </si>
  <si>
    <t>139 JASIN</t>
  </si>
  <si>
    <t xml:space="preserve">TUAN GURU ZULKIFLI ISMAIL </t>
  </si>
  <si>
    <t xml:space="preserve">ROSLAN BIN AHMAD </t>
  </si>
  <si>
    <t xml:space="preserve">DATUK HARUN </t>
  </si>
  <si>
    <t>AHMAD BIN HAMZAH</t>
  </si>
  <si>
    <t>85.7%</t>
  </si>
  <si>
    <t>JOHOR</t>
  </si>
  <si>
    <t>140</t>
  </si>
  <si>
    <t>140 SEGAMAT</t>
  </si>
  <si>
    <t xml:space="preserve">YUNESWARAN A/L RAMARAJ </t>
  </si>
  <si>
    <t xml:space="preserve">RAMASAMY A/L MUTHUSAMY </t>
  </si>
  <si>
    <t xml:space="preserve">POOBALAN A/L PONNUSAMY </t>
  </si>
  <si>
    <t>SANTHARA KUMAR A/L RAMANAIDU</t>
  </si>
  <si>
    <t>141</t>
  </si>
  <si>
    <t>141 SEKIJANG</t>
  </si>
  <si>
    <t xml:space="preserve">ZALIHA BINTI MUSTAFA </t>
  </si>
  <si>
    <t xml:space="preserve">MD SALLEHEEN BIN MOHAMAD </t>
  </si>
  <si>
    <t xml:space="preserve">UZZAIR BIN ISMAIL </t>
  </si>
  <si>
    <t>NATRAH BINTI ISMAIL</t>
  </si>
  <si>
    <t>142</t>
  </si>
  <si>
    <t>142 LABIS</t>
  </si>
  <si>
    <t xml:space="preserve">PANG HOK LIONG </t>
  </si>
  <si>
    <t xml:space="preserve">CHUA TEE YONG </t>
  </si>
  <si>
    <t xml:space="preserve">ALVIN CHANG </t>
  </si>
  <si>
    <t>PANG HOK LIONG</t>
  </si>
  <si>
    <t>143</t>
  </si>
  <si>
    <t>143 PAGOH</t>
  </si>
  <si>
    <t xml:space="preserve">TAN SRI MUHYIDDIN BIN MD YASIN </t>
  </si>
  <si>
    <t xml:space="preserve">DATUK SERI RAZALI IBRAHIM </t>
  </si>
  <si>
    <t xml:space="preserve">ISKANDAR SHAH </t>
  </si>
  <si>
    <t>MAHIADDIN BIN MD YASIN</t>
  </si>
  <si>
    <t>144</t>
  </si>
  <si>
    <t>144 LEDANG</t>
  </si>
  <si>
    <t xml:space="preserve">SYED IBRAHIM SYED NOH </t>
  </si>
  <si>
    <t xml:space="preserve">HAMIM BIN SAMURI </t>
  </si>
  <si>
    <t xml:space="preserve">ZAIDI HJ MAJID </t>
  </si>
  <si>
    <t>SYED IBRAHIM BIN SYED NOR</t>
  </si>
  <si>
    <t>145</t>
  </si>
  <si>
    <t>145 BAKRI</t>
  </si>
  <si>
    <t xml:space="preserve">TAN HONG PIN </t>
  </si>
  <si>
    <t xml:space="preserve">CHRIS LEE CHING YONG </t>
  </si>
  <si>
    <t xml:space="preserve">R. S. CHELVA </t>
  </si>
  <si>
    <t>YEO BEE YIN</t>
  </si>
  <si>
    <t>146</t>
  </si>
  <si>
    <t>146 MUAR</t>
  </si>
  <si>
    <t xml:space="preserve">MOHD HELMY ABD.LATIF </t>
  </si>
  <si>
    <t xml:space="preserve">USTAZ ABDULLAH HUSIN </t>
  </si>
  <si>
    <t>SYED SADDIQ BIN SYED ABDUL RAHMAN</t>
  </si>
  <si>
    <t>147</t>
  </si>
  <si>
    <t>147 PARIT SULONG</t>
  </si>
  <si>
    <t xml:space="preserve">NORAINI AHMAD </t>
  </si>
  <si>
    <t xml:space="preserve">MOHD FAIZAL DOLAH </t>
  </si>
  <si>
    <t xml:space="preserve">DR KARIM </t>
  </si>
  <si>
    <t>NORAINI BINTI AHMAD</t>
  </si>
  <si>
    <t>148</t>
  </si>
  <si>
    <t>148 AYER HITAM</t>
  </si>
  <si>
    <t xml:space="preserve">WEE KA SIONG </t>
  </si>
  <si>
    <t xml:space="preserve">SHEIKH OMAR </t>
  </si>
  <si>
    <t xml:space="preserve">SYAFIQ AZIZ </t>
  </si>
  <si>
    <t>BN-MCA</t>
  </si>
  <si>
    <t>WEE KA SIONG</t>
  </si>
  <si>
    <t>149</t>
  </si>
  <si>
    <t>149 SRI GADING</t>
  </si>
  <si>
    <t xml:space="preserve">CIKGU HUDA </t>
  </si>
  <si>
    <t xml:space="preserve">DATUK LASSIM BURHAN </t>
  </si>
  <si>
    <t xml:space="preserve">ZANARIYAH </t>
  </si>
  <si>
    <t>SHARUDDIN BIN MD SALLEH</t>
  </si>
  <si>
    <t>150</t>
  </si>
  <si>
    <t>150 BATU PAHAT</t>
  </si>
  <si>
    <t xml:space="preserve">ONN BIN ABU BAKAR </t>
  </si>
  <si>
    <t xml:space="preserve">ISHAK SIRAJ </t>
  </si>
  <si>
    <t xml:space="preserve">DATO' RASHID HASNON </t>
  </si>
  <si>
    <t>MOHD RASHID BIN HASNON</t>
  </si>
  <si>
    <t>151</t>
  </si>
  <si>
    <t>151 SIMPANG RENGGAM</t>
  </si>
  <si>
    <t xml:space="preserve">HASNI BIN MOHAMMAD </t>
  </si>
  <si>
    <t xml:space="preserve">DR MASZLEE MALIK </t>
  </si>
  <si>
    <t xml:space="preserve">FAZRUL KAMAT </t>
  </si>
  <si>
    <t>MASZLEE BIN MALIK</t>
  </si>
  <si>
    <t>152</t>
  </si>
  <si>
    <t>152 KLUANG</t>
  </si>
  <si>
    <t xml:space="preserve">WONG SHU QI </t>
  </si>
  <si>
    <t xml:space="preserve">GAN PING SIEU </t>
  </si>
  <si>
    <t xml:space="preserve">DZULKARNAIN BIN ALIAS </t>
  </si>
  <si>
    <t>WONG SHU QI</t>
  </si>
  <si>
    <t>153</t>
  </si>
  <si>
    <t>153 SEMBRONG</t>
  </si>
  <si>
    <t xml:space="preserve">HISHAMMUDDIN HUSSEIN </t>
  </si>
  <si>
    <t xml:space="preserve">HASNI ABAS </t>
  </si>
  <si>
    <t xml:space="preserve">JOE AZIZ </t>
  </si>
  <si>
    <t>HISHAMMUDDIN BIN DATUK HUSSEIN</t>
  </si>
  <si>
    <t>154</t>
  </si>
  <si>
    <t>154 MERSING</t>
  </si>
  <si>
    <t xml:space="preserve">ISLAHUDDIN ABAS </t>
  </si>
  <si>
    <t xml:space="preserve">ABD LATIF BAND </t>
  </si>
  <si>
    <t xml:space="preserve">ZULAIKHA ZAIDI </t>
  </si>
  <si>
    <t>ABD. LATIFF BIN AHMAD</t>
  </si>
  <si>
    <t>79.5%</t>
  </si>
  <si>
    <t>155</t>
  </si>
  <si>
    <t>155 TENGGARA</t>
  </si>
  <si>
    <t xml:space="preserve">MANNDZRI BIN NASIB </t>
  </si>
  <si>
    <t xml:space="preserve">ZURAIDAH CHEDAH </t>
  </si>
  <si>
    <t xml:space="preserve">KOLONEL NAZARI </t>
  </si>
  <si>
    <t>ADHAM BIN BABA</t>
  </si>
  <si>
    <t>156</t>
  </si>
  <si>
    <t>156 KOTA TINGGI</t>
  </si>
  <si>
    <t xml:space="preserve">KHALED NORDIN </t>
  </si>
  <si>
    <t xml:space="preserve">ONN JAAFAR </t>
  </si>
  <si>
    <t xml:space="preserve">RIDHWAN RASMAN </t>
  </si>
  <si>
    <t>HALIMAH BINTI MOHD SADIQUE</t>
  </si>
  <si>
    <t>157</t>
  </si>
  <si>
    <t>157 PENGERANG</t>
  </si>
  <si>
    <t xml:space="preserve">AZALINA OTHMAN SAID </t>
  </si>
  <si>
    <t xml:space="preserve">CHE ZAKARIA BIN MOHD SALLEH </t>
  </si>
  <si>
    <t xml:space="preserve">CIKGU IMAM NIZAR </t>
  </si>
  <si>
    <t>AZALINA BINTI OTHMAN</t>
  </si>
  <si>
    <t>83%</t>
  </si>
  <si>
    <t>158</t>
  </si>
  <si>
    <t>158 TEBRAU</t>
  </si>
  <si>
    <t xml:space="preserve">JIMMY PUAH WEE TSE </t>
  </si>
  <si>
    <t xml:space="preserve">NICOLE WONG </t>
  </si>
  <si>
    <t xml:space="preserve">MOHAMAD ISA BIN MOHAMAD BASIR </t>
  </si>
  <si>
    <t>CHOONG SHIAU YOON</t>
  </si>
  <si>
    <t>159</t>
  </si>
  <si>
    <t>159 PASIR GUDANG</t>
  </si>
  <si>
    <t xml:space="preserve">HASSAN ABDUL KARIM </t>
  </si>
  <si>
    <t xml:space="preserve">NOOR AZLEEN BIN AMBROS </t>
  </si>
  <si>
    <t xml:space="preserve">MOHAMAD FARID BIN ABDUL RAZAK </t>
  </si>
  <si>
    <t>HASSAN BIN ABDUL KARIM</t>
  </si>
  <si>
    <t>160</t>
  </si>
  <si>
    <t>160 JOHOR BAHRU</t>
  </si>
  <si>
    <t xml:space="preserve">AKMAL NASIR </t>
  </si>
  <si>
    <t xml:space="preserve">JOHAN ROPI </t>
  </si>
  <si>
    <t xml:space="preserve">MOHTAJ </t>
  </si>
  <si>
    <t>AKMAL NASRULLAH BIN MOHD NASIR</t>
  </si>
  <si>
    <t>161</t>
  </si>
  <si>
    <t>161 PULAI</t>
  </si>
  <si>
    <t xml:space="preserve">DATUK SERI SALAHUDDIN AYUB </t>
  </si>
  <si>
    <t xml:space="preserve">NUR JAZLAN </t>
  </si>
  <si>
    <t xml:space="preserve">LOH KAH YONG </t>
  </si>
  <si>
    <t>SALAHUDDIN BIN AYUB</t>
  </si>
  <si>
    <t>162</t>
  </si>
  <si>
    <t>162 ISKANDAR PUTERI</t>
  </si>
  <si>
    <t xml:space="preserve">LIEW CHIN TONG </t>
  </si>
  <si>
    <t xml:space="preserve">DATUK JASON TEOH </t>
  </si>
  <si>
    <t xml:space="preserve">TAN NAM CHA </t>
  </si>
  <si>
    <t>LIM KIT SIANG</t>
  </si>
  <si>
    <t>163</t>
  </si>
  <si>
    <t>163 KULAI</t>
  </si>
  <si>
    <t xml:space="preserve">TEO NIE CHING </t>
  </si>
  <si>
    <t xml:space="preserve">CHUA JIAN BOON </t>
  </si>
  <si>
    <t xml:space="preserve">DATO' TAN </t>
  </si>
  <si>
    <t>TEO NIE CHING</t>
  </si>
  <si>
    <t>164</t>
  </si>
  <si>
    <t>164 PONTIAN</t>
  </si>
  <si>
    <t xml:space="preserve">DATUK SERI AHMAD BIN MASLAN </t>
  </si>
  <si>
    <t xml:space="preserve">SHAZWAN ZDAINAL </t>
  </si>
  <si>
    <t xml:space="preserve">CIKGU ISA BIN AB HAMID </t>
  </si>
  <si>
    <t>AHMAD BIN MASLAN</t>
  </si>
  <si>
    <t>84%</t>
  </si>
  <si>
    <t>165</t>
  </si>
  <si>
    <t>165 TANJUNG PIAI</t>
  </si>
  <si>
    <t xml:space="preserve">WEE JECK SENG </t>
  </si>
  <si>
    <t xml:space="preserve">NAJWAH HALIMAH </t>
  </si>
  <si>
    <t>MD FARID BIN MD RAFIK</t>
  </si>
  <si>
    <t>166</t>
  </si>
  <si>
    <t>166 LABUAN</t>
  </si>
  <si>
    <t xml:space="preserve">DATO' DR. SUHAILI ABDUL RAHMAN </t>
  </si>
  <si>
    <t xml:space="preserve">BASHIR BIN ALIAS </t>
  </si>
  <si>
    <t xml:space="preserve">DATUK RAMLI TAHIR </t>
  </si>
  <si>
    <t>ROZMAN BIN ISLI</t>
  </si>
  <si>
    <t>76.6%</t>
  </si>
  <si>
    <t>WARISAN</t>
  </si>
  <si>
    <t>SABAH</t>
  </si>
  <si>
    <t>167</t>
  </si>
  <si>
    <t>167 KUDAT</t>
  </si>
  <si>
    <t>GRS</t>
  </si>
  <si>
    <t xml:space="preserve">THONNY CHEE </t>
  </si>
  <si>
    <t>DATUK ABD RAHIM BIN BAKRI</t>
  </si>
  <si>
    <t>73.1%</t>
  </si>
  <si>
    <t>168</t>
  </si>
  <si>
    <t>168 KOTA MARUDU</t>
  </si>
  <si>
    <t>KDM</t>
  </si>
  <si>
    <t xml:space="preserve"> MUDA</t>
  </si>
  <si>
    <t xml:space="preserve">SHAHRIZAL BIN DENCI </t>
  </si>
  <si>
    <t>BN-PBS</t>
  </si>
  <si>
    <t>JOHNITY @ MAXIMUS BIN ONGKILI</t>
  </si>
  <si>
    <t>74.9%</t>
  </si>
  <si>
    <t>PBS</t>
  </si>
  <si>
    <t>169</t>
  </si>
  <si>
    <t>169 KOTA BELUD</t>
  </si>
  <si>
    <t xml:space="preserve">DATUK SERI PANGLIMA ABD RAHMAN BIN DAHLAN </t>
  </si>
  <si>
    <t xml:space="preserve">MADELI @ MODILY BANGALI </t>
  </si>
  <si>
    <t>ISNARAISSAH MUNIRAH BT MAJILIS @ FAKHARUDY</t>
  </si>
  <si>
    <t>170</t>
  </si>
  <si>
    <t>170 TUARAN</t>
  </si>
  <si>
    <t>BN-UPKO</t>
  </si>
  <si>
    <t>MADIUS BIN TANGAU</t>
  </si>
  <si>
    <t>UPKO</t>
  </si>
  <si>
    <t>171</t>
  </si>
  <si>
    <t>171 SEPANGGAR</t>
  </si>
  <si>
    <t xml:space="preserve">MUSTAPHA SAKMUD </t>
  </si>
  <si>
    <t xml:space="preserve">YAKUB KHAN </t>
  </si>
  <si>
    <t>MOHD AZIS BIN JAMMAN</t>
  </si>
  <si>
    <t>172</t>
  </si>
  <si>
    <t>172 KOTA KINABALU</t>
  </si>
  <si>
    <t xml:space="preserve">CHAN FOONG HIN </t>
  </si>
  <si>
    <t>CHAN FOONG HIN</t>
  </si>
  <si>
    <t>76.4%</t>
  </si>
  <si>
    <t>173</t>
  </si>
  <si>
    <t>173 PUTATAN</t>
  </si>
  <si>
    <t xml:space="preserve">SHAHELMY BIN YAHYA </t>
  </si>
  <si>
    <t xml:space="preserve">AWANG HUSAINI BIN SAHARI </t>
  </si>
  <si>
    <t>AWANG HUSAINI BIN SAHARI</t>
  </si>
  <si>
    <t>174</t>
  </si>
  <si>
    <t>174 PENAMPANG</t>
  </si>
  <si>
    <t xml:space="preserve">EWON BENEDICK </t>
  </si>
  <si>
    <t xml:space="preserve"> UPKO</t>
  </si>
  <si>
    <t>IGNATIUS DORELL LEIKING</t>
  </si>
  <si>
    <t>175</t>
  </si>
  <si>
    <t>175 PAPAR</t>
  </si>
  <si>
    <t xml:space="preserve">HENRY SHIM </t>
  </si>
  <si>
    <t>AHMAD BIN HASSAN</t>
  </si>
  <si>
    <t>176</t>
  </si>
  <si>
    <t>176 KIMANIS</t>
  </si>
  <si>
    <t xml:space="preserve">DATUK MOHAMAD ALAMIN </t>
  </si>
  <si>
    <t xml:space="preserve">ROWINDY LAWRENCE ODONG </t>
  </si>
  <si>
    <t>ANIFAH BIN AMAN @ HANIFF AMMAN</t>
  </si>
  <si>
    <t>86.2%</t>
  </si>
  <si>
    <t>177</t>
  </si>
  <si>
    <t>177 BEAUFORT</t>
  </si>
  <si>
    <t xml:space="preserve">DATUK SITI AMINAH BINTI ACHING </t>
  </si>
  <si>
    <t xml:space="preserve">DIKIN BIN MUSAH </t>
  </si>
  <si>
    <t>DATUK AZIZAH BINTI MOHD DUN</t>
  </si>
  <si>
    <t>178</t>
  </si>
  <si>
    <t>178 SIPITANG</t>
  </si>
  <si>
    <t xml:space="preserve">LAHIRUL </t>
  </si>
  <si>
    <t>YAMANI HAFEZ BIN MUSA</t>
  </si>
  <si>
    <t>179</t>
  </si>
  <si>
    <t>179 RANAU</t>
  </si>
  <si>
    <t xml:space="preserve">TAUFIK DAHALAN </t>
  </si>
  <si>
    <t>JONATHAN BIN YASIN</t>
  </si>
  <si>
    <t>77.6%</t>
  </si>
  <si>
    <t>180</t>
  </si>
  <si>
    <t>180 KENINGAU</t>
  </si>
  <si>
    <t xml:space="preserve">GREYLYDIA GILLOD </t>
  </si>
  <si>
    <t>SOLIDARITI</t>
  </si>
  <si>
    <t>GAPARI BIN KATINGAN @ GEOFFREY KITINGAN</t>
  </si>
  <si>
    <t>181</t>
  </si>
  <si>
    <t>181 TENOM</t>
  </si>
  <si>
    <t xml:space="preserve">JAMAWI BIN JA'AFAR </t>
  </si>
  <si>
    <t xml:space="preserve">NORITA SUAL </t>
  </si>
  <si>
    <t>NOORITA BINTI SUAL</t>
  </si>
  <si>
    <t>78.9%</t>
  </si>
  <si>
    <t>182</t>
  </si>
  <si>
    <t>182 PENSIANGAN</t>
  </si>
  <si>
    <t xml:space="preserve">DATUK ARTHUR JOSEPH KURUP </t>
  </si>
  <si>
    <t xml:space="preserve"> PBRS</t>
  </si>
  <si>
    <t xml:space="preserve">SANGKAR RASAM </t>
  </si>
  <si>
    <t>BN-PBRS</t>
  </si>
  <si>
    <t>ARTHUR JOSEPH KURUP</t>
  </si>
  <si>
    <t>PBRS</t>
  </si>
  <si>
    <t>183</t>
  </si>
  <si>
    <t>183 BELURAN</t>
  </si>
  <si>
    <t xml:space="preserve">RONALD KIANDEE </t>
  </si>
  <si>
    <t xml:space="preserve">BENEDICT ASMAT </t>
  </si>
  <si>
    <t xml:space="preserve">FELIX JOSEPH SAANG </t>
  </si>
  <si>
    <t>DATUK RONALD KIANDEE</t>
  </si>
  <si>
    <t>75.8%</t>
  </si>
  <si>
    <t>184</t>
  </si>
  <si>
    <t>184 LIBARAN</t>
  </si>
  <si>
    <t xml:space="preserve">SUHAIMI BIN NASIR </t>
  </si>
  <si>
    <t xml:space="preserve">DR. PETER JR NAINTIN </t>
  </si>
  <si>
    <t>DATUK ZAKARIA BIN MOHD. EDRIS @ TUBAU</t>
  </si>
  <si>
    <t>185</t>
  </si>
  <si>
    <t>185 BATU SAPI</t>
  </si>
  <si>
    <t xml:space="preserve">LIAU FUI FUI </t>
  </si>
  <si>
    <t>LIEW VUI KEONG</t>
  </si>
  <si>
    <t>73.8%</t>
  </si>
  <si>
    <t>186</t>
  </si>
  <si>
    <t>186 SANDAKAN</t>
  </si>
  <si>
    <t xml:space="preserve">VIVIAN WONG SHIR YEE </t>
  </si>
  <si>
    <t>WONG TIEN FATT @ WONG NYUK FOH</t>
  </si>
  <si>
    <t>72.1%</t>
  </si>
  <si>
    <t>LDP</t>
  </si>
  <si>
    <t>187</t>
  </si>
  <si>
    <t>187 KINABATANGAN</t>
  </si>
  <si>
    <t xml:space="preserve">BUNG MOKTAR BIN RADIN </t>
  </si>
  <si>
    <t>DATO ' SRI MOKTAR BIN RADIN</t>
  </si>
  <si>
    <t>77.5%</t>
  </si>
  <si>
    <t>188</t>
  </si>
  <si>
    <t>188 LAHAD DATU</t>
  </si>
  <si>
    <t xml:space="preserve">MAIZATUL AKMAM BT HJ ALAWI </t>
  </si>
  <si>
    <t xml:space="preserve">SIA YU HOCK </t>
  </si>
  <si>
    <t>MOHAMADDIN BIN KETAPI</t>
  </si>
  <si>
    <t>72.7%</t>
  </si>
  <si>
    <t>189</t>
  </si>
  <si>
    <t>189 SEMPORNA</t>
  </si>
  <si>
    <t xml:space="preserve">ARASTAM BIN PANDOROG </t>
  </si>
  <si>
    <t>MOHD SHAFIE BIN APDAL</t>
  </si>
  <si>
    <t>71.7%</t>
  </si>
  <si>
    <t>190</t>
  </si>
  <si>
    <t>190 TAWAU</t>
  </si>
  <si>
    <t xml:space="preserve">CHRISTINA LIEW </t>
  </si>
  <si>
    <t>LIEW CHIN JIN</t>
  </si>
  <si>
    <t>73.2%</t>
  </si>
  <si>
    <t>191</t>
  </si>
  <si>
    <t>191 KALABAKAN</t>
  </si>
  <si>
    <t xml:space="preserve">ANDI MUHAMMAD SURYADY BIN BANDY </t>
  </si>
  <si>
    <t xml:space="preserve">NORAINI ABD GHAPUR </t>
  </si>
  <si>
    <t>MA'MUN BIN SULAIMAN</t>
  </si>
  <si>
    <t>72.9%</t>
  </si>
  <si>
    <t>LAIN-LAIN</t>
  </si>
  <si>
    <t>U0</t>
  </si>
  <si>
    <t>U1</t>
  </si>
  <si>
    <t>U2</t>
  </si>
  <si>
    <t>U3</t>
  </si>
  <si>
    <t>GE15</t>
  </si>
  <si>
    <t>GE14</t>
  </si>
  <si>
    <t>State</t>
  </si>
  <si>
    <t>Constituency</t>
  </si>
  <si>
    <t>Parliament_Code</t>
  </si>
  <si>
    <t>Parliament</t>
  </si>
  <si>
    <t>Num_of_DUN</t>
  </si>
  <si>
    <t>Num_of_PDM</t>
  </si>
  <si>
    <t>Election_Year_14</t>
  </si>
  <si>
    <t>Party_Win_GE15</t>
  </si>
  <si>
    <t>Election_Year_15</t>
  </si>
  <si>
    <t>Candidate_Win_GE15</t>
  </si>
  <si>
    <t>BN_Votes_GE15</t>
  </si>
  <si>
    <t>BN_Components_GE15</t>
  </si>
  <si>
    <t>BN_Candidates_GE15</t>
  </si>
  <si>
    <t>PH_Votes_GE15</t>
  </si>
  <si>
    <t>PH_Components_GE15</t>
  </si>
  <si>
    <t>PH_Candidates_GE15</t>
  </si>
  <si>
    <t>PN_Votes_GE15</t>
  </si>
  <si>
    <t>PN_Components_GE15</t>
  </si>
  <si>
    <t>PN_Candidates_GE15</t>
  </si>
  <si>
    <t>Majority_GE15</t>
  </si>
  <si>
    <t>Party_Win_GE14</t>
  </si>
  <si>
    <t>Candidate_Win_GE14</t>
  </si>
  <si>
    <t>Majority_GE14</t>
  </si>
  <si>
    <t>Turn_Out_SPR_GE14</t>
  </si>
  <si>
    <t>Turn_Out_SPR_GE15</t>
  </si>
  <si>
    <t>Base_Stock_GE15</t>
  </si>
  <si>
    <t>Base_Stock_GE14</t>
  </si>
  <si>
    <t>BN_Votes_GE14</t>
  </si>
  <si>
    <t>PAS_Votes_GE14</t>
  </si>
  <si>
    <t>PH_Votes_GE14</t>
  </si>
  <si>
    <t>BN_Components_GE14</t>
  </si>
  <si>
    <t>PH_Components_GE14</t>
  </si>
  <si>
    <t>BN_Status_GE14</t>
  </si>
  <si>
    <t>Average_BN_Votes_3GE</t>
  </si>
  <si>
    <t>All_Voters_GE15</t>
  </si>
  <si>
    <t>Pos_Voters_GE15</t>
  </si>
  <si>
    <t>Awal_Voters_GE15</t>
  </si>
  <si>
    <t>Awam_Voters_GE15</t>
  </si>
  <si>
    <t>Melayu_Voters_GE15</t>
  </si>
  <si>
    <t>Melayu_GE15_%</t>
  </si>
  <si>
    <t>Chinese_Voters_GE15</t>
  </si>
  <si>
    <t>Chinese_GE15_%</t>
  </si>
  <si>
    <t>India_Voters_GE15</t>
  </si>
  <si>
    <t>India_GE15_%</t>
  </si>
  <si>
    <t>OA_Voters_GE15</t>
  </si>
  <si>
    <t>Sabah_Voters_GE15</t>
  </si>
  <si>
    <t>Swak_Voters_GE15</t>
  </si>
  <si>
    <t>BaseStock_vs_VotersGE15_%</t>
  </si>
  <si>
    <t>BaseStock_TurnOut_GE15</t>
  </si>
  <si>
    <t>New_Voters_GE15</t>
  </si>
  <si>
    <t>18-25_GE15</t>
  </si>
  <si>
    <t>18-20_GE15</t>
  </si>
  <si>
    <t>21-40_GE15</t>
  </si>
  <si>
    <t>41-60_GE15</t>
  </si>
  <si>
    <t>61-90_GE15</t>
  </si>
  <si>
    <t>≤ 40_GE15</t>
  </si>
  <si>
    <t>≥ 41_GE15</t>
  </si>
  <si>
    <t>All_Voters_Feb26</t>
  </si>
  <si>
    <t>Pos_Feb26</t>
  </si>
  <si>
    <t>Awal_Feb26</t>
  </si>
  <si>
    <t>Awam_Feb26</t>
  </si>
  <si>
    <t>Melayu_Feb26</t>
  </si>
  <si>
    <t>Chinese_Feb26</t>
  </si>
  <si>
    <t>India_Feb26</t>
  </si>
  <si>
    <t>OA_Feb26</t>
  </si>
  <si>
    <t>Sabah_Feb26</t>
  </si>
  <si>
    <t>Swak_Feb26</t>
  </si>
  <si>
    <t>Lain_26</t>
  </si>
  <si>
    <t>LAIN-LAIN_Feb26</t>
  </si>
  <si>
    <t>Male_Feb26</t>
  </si>
  <si>
    <t>Female_26</t>
  </si>
  <si>
    <t>≤_40_Feb26_%</t>
  </si>
  <si>
    <t>≥_41_Feb26_%</t>
  </si>
  <si>
    <t>≥_41_Feb26</t>
  </si>
  <si>
    <t>≤_40_Feb26</t>
  </si>
  <si>
    <t>Members_All</t>
  </si>
  <si>
    <t>Members_Man</t>
  </si>
  <si>
    <t>Members_woman</t>
  </si>
  <si>
    <t>Members_Youth</t>
  </si>
  <si>
    <t>Num_Branch</t>
  </si>
  <si>
    <t>Num_WomanBranch</t>
  </si>
  <si>
    <t>Num_YouthBranch</t>
  </si>
  <si>
    <t>Num_Pu3_Branch</t>
  </si>
  <si>
    <t>BN_Status_GE15</t>
  </si>
  <si>
    <t>PH_Status_GE15</t>
  </si>
  <si>
    <t>PN_Status_GE15</t>
  </si>
  <si>
    <t>PH_Status_GE14</t>
  </si>
  <si>
    <t>PAS_Status_GE14</t>
  </si>
  <si>
    <t>SYED SADDIQ</t>
  </si>
  <si>
    <t>VERDON BIN BAHANDA</t>
  </si>
  <si>
    <t>WETROM BAHANDA</t>
  </si>
  <si>
    <t>MUNIRAH MAJILIS</t>
  </si>
  <si>
    <t>MADIUS TANGAU</t>
  </si>
  <si>
    <t>ARMIZAN BIN MOHD ALI</t>
  </si>
  <si>
    <t>MATBALI BIN MUSAH</t>
  </si>
  <si>
    <t>JONATHAN YASIN</t>
  </si>
  <si>
    <t>DR JEFFREY G.KITTINGAN</t>
  </si>
  <si>
    <t>NOORITA SUAL</t>
  </si>
  <si>
    <t>KHAIRUL FIRDAUS AKHBAR KHAN</t>
  </si>
  <si>
    <t>MOHAMMAD YUSOF APDAL</t>
  </si>
  <si>
    <t>MOHD SHAFIE APDAL</t>
  </si>
  <si>
    <t>LO SU FUI</t>
  </si>
  <si>
    <t>All_Voters_GE14</t>
  </si>
  <si>
    <t>Male_GE14</t>
  </si>
  <si>
    <t>Female_GE14</t>
  </si>
  <si>
    <t>≤ 40_GE14</t>
  </si>
  <si>
    <t>≥ 41_GE14</t>
  </si>
  <si>
    <t>Melayu_Voters_GE14</t>
  </si>
  <si>
    <t>Chinese_Voters_GE14</t>
  </si>
  <si>
    <t>India_Voters_GE14</t>
  </si>
  <si>
    <t>Sabah_Voters_GE14</t>
  </si>
  <si>
    <t>Swak_Voters_GE14</t>
  </si>
  <si>
    <t>Lain_Voters_GE14</t>
  </si>
  <si>
    <t>OA_Voters_GE142</t>
  </si>
  <si>
    <t>Members_Pu3</t>
  </si>
  <si>
    <t>Lain_Voters_GE15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</si>
</sst>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  <font>
      <b/>
      <sz val="10"/>
      <color rgb="FFFFFFFF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AF50"/>
      </patternFill>
    </fill>
    <fill>
      <patternFill patternType="solid">
        <fgColor rgb="FF0000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</patternFill>
    </fill>
    <fill>
      <patternFill patternType="solid">
        <fgColor rgb="FF006FC0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0"/>
      </patternFill>
    </fill>
    <fill>
      <patternFill patternType="solid">
        <fgColor rgb="FFFF0000"/>
        <bgColor indexed="0"/>
      </patternFill>
    </fill>
    <fill>
      <patternFill patternType="solid">
        <fgColor theme="8" tint="-0.249977111117893"/>
        <bgColor indexed="0"/>
      </patternFill>
    </fill>
    <fill>
      <patternFill patternType="solid">
        <fgColor rgb="FFFF0066"/>
        <bgColor indexed="0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</cellStyleXfs>
  <cellXfs count="81">
    <xf numFmtId="0" fontId="0" fillId="0" borderId="0" xfId="0"/>
    <xf numFmtId="0" fontId="4" fillId="2" borderId="1" xfId="2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164" fontId="8" fillId="2" borderId="1" xfId="1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10" fillId="2" borderId="1" xfId="2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4" fontId="8" fillId="2" borderId="0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" fontId="8" fillId="2" borderId="1" xfId="2" applyNumberFormat="1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15" fillId="21" borderId="1" xfId="3" applyNumberFormat="1" applyFont="1" applyFill="1" applyBorder="1" applyAlignment="1">
      <alignment horizontal="center" vertical="center" wrapText="1"/>
    </xf>
    <xf numFmtId="3" fontId="16" fillId="22" borderId="1" xfId="3" applyNumberFormat="1" applyFont="1" applyFill="1" applyBorder="1" applyAlignment="1">
      <alignment horizontal="center" vertical="center" wrapText="1"/>
    </xf>
    <xf numFmtId="3" fontId="16" fillId="23" borderId="1" xfId="3" applyNumberFormat="1" applyFont="1" applyFill="1" applyBorder="1" applyAlignment="1">
      <alignment horizontal="center" vertical="center" wrapText="1"/>
    </xf>
    <xf numFmtId="3" fontId="16" fillId="24" borderId="1" xfId="3" applyNumberFormat="1" applyFont="1" applyFill="1" applyBorder="1" applyAlignment="1">
      <alignment horizontal="center" vertical="center" wrapText="1"/>
    </xf>
    <xf numFmtId="3" fontId="17" fillId="21" borderId="1" xfId="3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3" fontId="18" fillId="2" borderId="1" xfId="3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" fontId="18" fillId="0" borderId="1" xfId="3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8" fillId="0" borderId="3" xfId="2" applyFont="1" applyBorder="1" applyAlignment="1">
      <alignment horizontal="right"/>
    </xf>
    <xf numFmtId="0" fontId="7" fillId="12" borderId="2" xfId="0" applyFont="1" applyFill="1" applyBorder="1" applyAlignment="1">
      <alignment horizontal="center" vertical="center" wrapText="1"/>
    </xf>
    <xf numFmtId="49" fontId="7" fillId="12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 wrapText="1"/>
    </xf>
    <xf numFmtId="3" fontId="7" fillId="9" borderId="2" xfId="0" applyNumberFormat="1" applyFont="1" applyFill="1" applyBorder="1" applyAlignment="1">
      <alignment horizontal="center" vertical="center" wrapText="1"/>
    </xf>
    <xf numFmtId="3" fontId="6" fillId="8" borderId="2" xfId="0" applyNumberFormat="1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3" fontId="20" fillId="26" borderId="1" xfId="0" applyNumberFormat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164" fontId="7" fillId="16" borderId="1" xfId="1" applyNumberFormat="1" applyFont="1" applyFill="1" applyBorder="1" applyAlignment="1">
      <alignment horizontal="center" vertical="center" wrapText="1"/>
    </xf>
    <xf numFmtId="164" fontId="7" fillId="17" borderId="1" xfId="1" applyNumberFormat="1" applyFont="1" applyFill="1" applyBorder="1" applyAlignment="1">
      <alignment horizontal="center" vertical="center" wrapText="1"/>
    </xf>
    <xf numFmtId="3" fontId="7" fillId="12" borderId="2" xfId="0" applyNumberFormat="1" applyFont="1" applyFill="1" applyBorder="1" applyAlignment="1">
      <alignment horizontal="center" vertical="center" wrapText="1"/>
    </xf>
    <xf numFmtId="3" fontId="7" fillId="18" borderId="1" xfId="0" applyNumberFormat="1" applyFont="1" applyFill="1" applyBorder="1" applyAlignment="1">
      <alignment horizontal="center" vertical="center" wrapText="1"/>
    </xf>
    <xf numFmtId="3" fontId="20" fillId="12" borderId="1" xfId="0" applyNumberFormat="1" applyFont="1" applyFill="1" applyBorder="1" applyAlignment="1">
      <alignment horizontal="center" vertical="center" wrapText="1"/>
    </xf>
    <xf numFmtId="3" fontId="6" fillId="19" borderId="1" xfId="0" applyNumberFormat="1" applyFont="1" applyFill="1" applyBorder="1" applyAlignment="1">
      <alignment horizontal="center" vertical="center" wrapText="1"/>
    </xf>
    <xf numFmtId="3" fontId="13" fillId="20" borderId="1" xfId="0" applyNumberFormat="1" applyFont="1" applyFill="1" applyBorder="1" applyAlignment="1">
      <alignment horizontal="center" vertical="center" wrapText="1"/>
    </xf>
    <xf numFmtId="3" fontId="14" fillId="19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4">
    <cellStyle name="Normal" xfId="0" builtinId="0"/>
    <cellStyle name="Normal_PAR" xfId="2" xr:uid="{2977B8BA-EEA8-4F5C-A93F-753B52B426CF}"/>
    <cellStyle name="Normal_Sheet2" xfId="3" xr:uid="{2F674B2D-D119-4428-909D-3CEEFCCFC890}"/>
    <cellStyle name="Percent" xfId="1" builtinId="5"/>
  </cellStyles>
  <dxfs count="212">
    <dxf>
      <fill>
        <patternFill>
          <bgColor theme="7" tint="0.79998168889431442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auto="1"/>
      </font>
      <fill>
        <patternFill>
          <bgColor rgb="FFCCECFF"/>
        </patternFill>
      </fill>
    </dxf>
    <dxf>
      <fill>
        <patternFill>
          <bgColor rgb="FFFFCCFF"/>
        </patternFill>
      </fill>
    </dxf>
    <dxf>
      <fill>
        <patternFill>
          <bgColor rgb="FFFFFFE1"/>
        </patternFill>
      </fill>
    </dxf>
    <dxf>
      <font>
        <b/>
        <i val="0"/>
        <color theme="0"/>
      </font>
      <fill>
        <patternFill>
          <bgColor rgb="FF000099"/>
        </patternFill>
      </fill>
    </dxf>
    <dxf>
      <font>
        <b/>
        <i val="0"/>
        <color auto="1"/>
      </font>
      <fill>
        <patternFill>
          <bgColor rgb="FFFF9933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33CCCC"/>
        </patternFill>
      </fill>
    </dxf>
    <dxf>
      <font>
        <b/>
        <i val="0"/>
        <color theme="0"/>
      </font>
      <fill>
        <patternFill>
          <bgColor rgb="FF006600"/>
        </patternFill>
      </fill>
    </dxf>
    <dxf>
      <fill>
        <patternFill>
          <bgColor rgb="FFFFFFE1"/>
        </patternFill>
      </fill>
    </dxf>
    <dxf>
      <font>
        <b/>
        <i val="0"/>
        <color theme="0"/>
      </font>
      <fill>
        <patternFill>
          <bgColor rgb="FF000099"/>
        </patternFill>
      </fill>
    </dxf>
    <dxf>
      <font>
        <b/>
        <i val="0"/>
        <color auto="1"/>
      </font>
      <fill>
        <patternFill>
          <bgColor rgb="FFFF9933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33CCCC"/>
        </patternFill>
      </fill>
    </dxf>
    <dxf>
      <font>
        <b/>
        <i val="0"/>
        <color theme="0"/>
      </font>
      <fill>
        <patternFill>
          <bgColor rgb="FF006600"/>
        </patternFill>
      </fill>
    </dxf>
    <dxf>
      <font>
        <b/>
        <i val="0"/>
        <color rgb="FF333399"/>
      </font>
      <fill>
        <patternFill patternType="solid"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0066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0.0%"/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0.0%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 style="thin">
          <color rgb="FF80808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8947B-B76F-41F6-8278-C4349AE2F7AD}" name="Table14" displayName="Table14" ref="A1:BO192" headerRowDxfId="78" dataDxfId="211" totalsRowDxfId="210" headerRowBorderDxfId="208" tableBorderDxfId="209">
  <autoFilter ref="A1:BO192" xr:uid="{1DB8947B-B76F-41F6-8278-C4349AE2F7AD}"/>
  <tableColumns count="67">
    <tableColumn id="2" xr3:uid="{C1217C8F-3BC0-4B79-9DA2-E8833C13841D}" name="State" dataDxfId="207"/>
    <tableColumn id="6" xr3:uid="{BF1A417E-A110-41B6-919A-71A1ACD6A967}" name="Constituency" dataDxfId="115" dataCellStyle="Normal_PAR"/>
    <tableColumn id="99" xr3:uid="{32E9D6DD-40E5-471F-9677-3BF0FAE93AC4}" name="Parliament_Code" dataDxfId="205" totalsRowDxfId="206"/>
    <tableColumn id="4" xr3:uid="{191E890B-6803-47C2-8E9D-D26D68780012}" name="Parliament" dataDxfId="203" totalsRowDxfId="204"/>
    <tableColumn id="8" xr3:uid="{D7E7C312-B7E1-40C5-AA04-E7B6F14019F0}" name="Num_of_DUN" dataDxfId="201" totalsRowDxfId="202"/>
    <tableColumn id="9" xr3:uid="{D3F78681-0B7B-453A-A6C0-0ED0E789D67B}" name="Num_of_PDM" dataDxfId="199" totalsRowDxfId="200"/>
    <tableColumn id="92" xr3:uid="{DAD6AD37-7B88-4FCE-9F3E-1ABD7B44BF10}" name="Turn_Out_SPR_GE15" dataDxfId="197" totalsRowDxfId="198"/>
    <tableColumn id="5" xr3:uid="{0E2C6FFF-4E0A-4737-8841-185D633E6B63}" name="Election_Year_15" dataDxfId="196"/>
    <tableColumn id="3" xr3:uid="{51273F09-1805-4896-A460-AFEC5A056A3D}" name="Party_Win_GE15" dataDxfId="195"/>
    <tableColumn id="15" xr3:uid="{CB32DED9-B78B-471A-8F07-8662AB2C3AB0}" name="Candidate_Win_GE15" dataDxfId="194">
      <calculatedColumnFormula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calculatedColumnFormula>
    </tableColumn>
    <tableColumn id="82" xr3:uid="{9EA77785-7DAE-4D12-84C3-E6F68FFA6D73}" name="BN_Votes_GE15" dataDxfId="192" totalsRowDxfId="193"/>
    <tableColumn id="73" xr3:uid="{543D4DA8-4EB2-486D-A980-0FDB28CF05A0}" name="BN_Components_GE15" dataDxfId="190" totalsRowDxfId="191"/>
    <tableColumn id="7" xr3:uid="{CE4A27CB-1B3C-466D-8140-8896E01A4026}" name="BN_Candidates_GE15" dataDxfId="188" totalsRowDxfId="189"/>
    <tableColumn id="81" xr3:uid="{2C7C289A-E169-402B-A649-24C5FCCF2540}" name="PH_Votes_GE15" dataDxfId="186" totalsRowDxfId="187"/>
    <tableColumn id="77" xr3:uid="{F0E38F90-F8A2-497E-B19C-D15C8FD8CF69}" name="PH_Components_GE15" dataDxfId="184" totalsRowDxfId="185"/>
    <tableColumn id="56" xr3:uid="{DD299F4E-85F2-46A0-A76A-AAB6F8CA6F1A}" name="PH_Candidates_GE15" dataDxfId="182" totalsRowDxfId="183"/>
    <tableColumn id="80" xr3:uid="{A3A5B4AD-CE3A-4959-A4DE-F0421A34B994}" name="PN_Votes_GE15" dataDxfId="180" totalsRowDxfId="181"/>
    <tableColumn id="78" xr3:uid="{57ECA44E-A8BA-438B-905E-849297DF9176}" name="PN_Components_GE15" dataDxfId="178" totalsRowDxfId="179"/>
    <tableColumn id="68" xr3:uid="{45E6973B-FB13-46AD-BA1B-45417F74AEA3}" name="PN_Candidates_GE15" dataDxfId="176" totalsRowDxfId="177"/>
    <tableColumn id="58" xr3:uid="{F7920EF4-F502-4D20-9E65-9ED7C19BB291}" name="Majority_GE15" dataDxfId="174" totalsRowDxfId="175"/>
    <tableColumn id="67" xr3:uid="{FE21E216-536E-4195-BBCB-782D55E31128}" name="BN_Status_GE15" dataDxfId="111" totalsRowDxfId="112"/>
    <tableColumn id="70" xr3:uid="{83509E10-5A15-49B9-9282-6D4FE66EB84A}" name="PH_Status_GE15" dataDxfId="107" totalsRowDxfId="108"/>
    <tableColumn id="69" xr3:uid="{D8053609-9788-4AEB-9F50-57490E3DDF31}" name="PN_Status_GE15" dataDxfId="109" totalsRowDxfId="110"/>
    <tableColumn id="59" xr3:uid="{49339CAC-B976-4FC0-AD95-929E9435D4E2}" name="Base_Stock_GE15" dataDxfId="172" totalsRowDxfId="173"/>
    <tableColumn id="10" xr3:uid="{D85899AC-9F86-4998-A3F0-4B1F8CC5C616}" name="Party_Win_GE14" dataDxfId="170" totalsRowDxfId="171"/>
    <tableColumn id="66" xr3:uid="{BF5DACF6-9A3E-4D8E-B125-C11457509B68}" name="Election_Year_14" dataDxfId="113" totalsRowDxfId="114"/>
    <tableColumn id="11" xr3:uid="{CEE26833-29B3-4FCC-94D8-478704A732C3}" name="Candidate_Win_GE14" dataDxfId="168" totalsRowDxfId="169"/>
    <tableColumn id="12" xr3:uid="{37108844-ED73-4044-9850-F9F488E9F9E8}" name="Majority_GE14" dataDxfId="166" totalsRowDxfId="167"/>
    <tableColumn id="13" xr3:uid="{E280CB33-CBCA-43CB-A905-A38DB5F3A60D}" name="Turn_Out_SPR_GE14" dataDxfId="164" totalsRowDxfId="165"/>
    <tableColumn id="30" xr3:uid="{F14A7317-D6E1-4F28-B23C-5FBB8AA09D40}" name="Base_Stock_GE14" dataDxfId="162" totalsRowDxfId="163"/>
    <tableColumn id="14" xr3:uid="{DA8708B6-8856-4A60-89C0-94DDC7F14A7D}" name="BN_Votes_GE14" dataDxfId="160" totalsRowDxfId="161"/>
    <tableColumn id="17" xr3:uid="{225923EF-19E7-4438-B6D8-DC03E945E96E}" name="PAS_Votes_GE14" dataDxfId="158" totalsRowDxfId="159"/>
    <tableColumn id="18" xr3:uid="{4EF77DE1-F7F8-4363-8EFC-E6F54CCDA726}" name="PH_Votes_GE14" dataDxfId="156" totalsRowDxfId="157"/>
    <tableColumn id="31" xr3:uid="{6FBEFAF5-4AED-4891-BA7D-5ABC6B2A3E93}" name="BN_Components_GE14" dataDxfId="154" totalsRowDxfId="155"/>
    <tableColumn id="19" xr3:uid="{627CAE12-F06C-4C9E-B7E2-A653DDE2FB72}" name="PH_Components_GE14" dataDxfId="152" totalsRowDxfId="153"/>
    <tableColumn id="25" xr3:uid="{C1D402AC-0BDE-4193-B2D2-A4B65151B2DE}" name="BN_Status_GE14" dataDxfId="150" totalsRowDxfId="151"/>
    <tableColumn id="72" xr3:uid="{13E3D529-8B25-451C-9096-7A8436D6708D}" name="PH_Status_GE14" dataDxfId="103" totalsRowDxfId="104"/>
    <tableColumn id="71" xr3:uid="{9EE96DB1-72C9-4CBD-A4B8-D5F9DDB32957}" name="PAS_Status_GE14" dataDxfId="105" totalsRowDxfId="106"/>
    <tableColumn id="91" xr3:uid="{F919E79F-FDEE-4E2F-A981-F7F72F5B9FF9}" name="All_Voters_GE14" dataDxfId="79" totalsRowDxfId="80"/>
    <tableColumn id="90" xr3:uid="{E352C337-667F-4AF1-9F70-B8502BE5FEA5}" name="Melayu_Voters_GE14" dataDxfId="81" totalsRowDxfId="82"/>
    <tableColumn id="89" xr3:uid="{E0797A79-323E-4072-8315-508124457843}" name="Chinese_Voters_GE14" dataDxfId="83" totalsRowDxfId="84"/>
    <tableColumn id="88" xr3:uid="{ECAB7C4E-ABEE-42C7-A0DA-7B97693A89ED}" name="India_Voters_GE14" dataDxfId="85" totalsRowDxfId="86"/>
    <tableColumn id="87" xr3:uid="{89CB2BF9-84A7-4A8C-8825-84128BDC7D5C}" name="Lain_Voters_GE14" dataDxfId="87" totalsRowDxfId="88"/>
    <tableColumn id="86" xr3:uid="{5C77046D-8348-4694-BFA0-055F922E8CC6}" name="Sabah_Voters_GE14" dataDxfId="89" totalsRowDxfId="90"/>
    <tableColumn id="85" xr3:uid="{5E8A3F92-06C3-4D53-A636-54F6BE21DEC4}" name="Swak_Voters_GE14" dataDxfId="91" totalsRowDxfId="92"/>
    <tableColumn id="84" xr3:uid="{9C5EA59C-53B5-4847-9A09-81A4DA15EC76}" name="OA_Voters_GE142" dataDxfId="93" totalsRowDxfId="94"/>
    <tableColumn id="83" xr3:uid="{72B5ED4A-0C99-404F-A050-2659DB6701ED}" name="Male_GE14" dataDxfId="95" totalsRowDxfId="96"/>
    <tableColumn id="79" xr3:uid="{02CBA001-EF56-4ADB-9E71-80E46317B4F8}" name="Female_GE14" dataDxfId="97" totalsRowDxfId="98"/>
    <tableColumn id="76" xr3:uid="{7B99C104-8F86-4C45-95AA-959F7737FBCD}" name="≤ 40_GE14" dataDxfId="99" totalsRowDxfId="100"/>
    <tableColumn id="75" xr3:uid="{8F9BB7A4-8B91-42C1-A021-963A9644D167}" name="≥ 41_GE14" dataDxfId="101" totalsRowDxfId="102"/>
    <tableColumn id="26" xr3:uid="{22307697-9B20-415D-BD0E-C852FE2A893C}" name="Average_BN_Votes_3GE" totalsRowFunction="sum" dataDxfId="148" totalsRowDxfId="149"/>
    <tableColumn id="27" xr3:uid="{5FB4BB75-DDB0-4E00-A0AF-9577051DFE49}" name="All_Voters_GE15" dataDxfId="146" totalsRowDxfId="147"/>
    <tableColumn id="28" xr3:uid="{A4FB17B9-40FC-4CF5-B14E-2C2DF45804ED}" name="Pos_Voters_GE15" dataDxfId="144" totalsRowDxfId="145"/>
    <tableColumn id="29" xr3:uid="{C006EACC-F539-49B5-B55F-091CAC3062C5}" name="Awal_Voters_GE15" dataDxfId="142" totalsRowDxfId="143"/>
    <tableColumn id="37" xr3:uid="{2A91BA09-692D-44EB-8EEB-739533E3D076}" name="Awam_Voters_GE15" dataDxfId="140" totalsRowDxfId="141"/>
    <tableColumn id="38" xr3:uid="{B8E2104C-EEC1-4288-90A7-79591E16D8E7}" name="Melayu_Voters_GE15" dataDxfId="138" totalsRowDxfId="139"/>
    <tableColumn id="46" xr3:uid="{E40C82C2-FC31-484D-87AF-097AE88747ED}" name="Melayu_GE15_%" dataDxfId="136" totalsRowDxfId="137">
      <calculatedColumnFormula>Table14[[#This Row],[Melayu_Voters_GE15]]/Table14[[#This Row],[All_Voters_GE15]]</calculatedColumnFormula>
    </tableColumn>
    <tableColumn id="39" xr3:uid="{B2A6A8BD-A33B-41A6-B350-28C3D95F678C}" name="Chinese_Voters_GE15" dataDxfId="134" totalsRowDxfId="135"/>
    <tableColumn id="47" xr3:uid="{193C87C8-F9E1-46C1-BE3B-79A64321CCFD}" name="Chinese_GE15_%" dataDxfId="132" totalsRowDxfId="133">
      <calculatedColumnFormula>Table14[[#This Row],[Chinese_Voters_GE15]]/Table14[[#This Row],[All_Voters_GE15]]</calculatedColumnFormula>
    </tableColumn>
    <tableColumn id="40" xr3:uid="{DDEBF685-837B-4EBF-8717-22D6124DEE16}" name="India_Voters_GE15" dataDxfId="130" totalsRowDxfId="131"/>
    <tableColumn id="48" xr3:uid="{DE7B39C1-AB8C-4900-90B8-723DE550D279}" name="India_GE15_%" dataDxfId="128" totalsRowDxfId="129">
      <calculatedColumnFormula>Table14[[#This Row],[India_Voters_GE15]]/Table14[[#This Row],[All_Voters_GE15]]</calculatedColumnFormula>
    </tableColumn>
    <tableColumn id="41" xr3:uid="{93349AF5-0D2B-4989-A9C4-4326811B1532}" name="OA_Voters_GE15" dataDxfId="126" totalsRowDxfId="127"/>
    <tableColumn id="42" xr3:uid="{1E5C8EE1-63AE-46E8-A51B-22B1D810EA48}" name="Sabah_Voters_GE15" dataDxfId="124" totalsRowDxfId="125"/>
    <tableColumn id="43" xr3:uid="{D5AC308B-EC65-4A66-89D2-848812CEADB0}" name="Swak_Voters_GE15" dataDxfId="122" totalsRowDxfId="123"/>
    <tableColumn id="44" xr3:uid="{E29CA494-7D5D-4DE9-BF56-267782CFDFAA}" name="Lain_Voters_GE15" dataDxfId="120" totalsRowDxfId="121"/>
    <tableColumn id="52" xr3:uid="{EC3E6B10-F721-41DD-B9D2-2BA0B8B0E106}" name="LAIN-LAIN" dataDxfId="118" totalsRowDxfId="119">
      <calculatedColumnFormula>Table14[[#This Row],[Lain_Voters_GE15]]+Table14[[#This Row],[Swak_Voters_GE15]]+Table14[[#This Row],[Sabah_Voters_GE15]]+Table14[[#This Row],[OA_Voters_GE15]]</calculatedColumnFormula>
    </tableColumn>
    <tableColumn id="49" xr3:uid="{DCAAC4D8-5AC6-431B-A932-7BE1239CB613}" name="BaseStock_vs_VotersGE15_%" dataDxfId="116" totalsRowDxfId="117">
      <calculatedColumnFormula>Table14[[#This Row],[Base_Stock_GE15]]/Table14[[#This Row],[All_Voters_GE15]]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47E1-E741-436B-B9A4-7B46BDC041EA}">
  <dimension ref="A1:DC192"/>
  <sheetViews>
    <sheetView tabSelected="1" topLeftCell="A161" zoomScale="90" zoomScaleNormal="90" workbookViewId="0">
      <selection sqref="A1:XFD1"/>
    </sheetView>
  </sheetViews>
  <sheetFormatPr defaultColWidth="10.6328125" defaultRowHeight="14.5" x14ac:dyDescent="0.35"/>
  <cols>
    <col min="1" max="1" width="12" style="31" customWidth="1"/>
    <col min="2" max="2" width="17.36328125" style="31" customWidth="1"/>
    <col min="3" max="3" width="12.90625" style="32" customWidth="1"/>
    <col min="4" max="4" width="28.08984375" style="48" customWidth="1"/>
    <col min="5" max="6" width="5.81640625" style="31" hidden="1" customWidth="1"/>
    <col min="7" max="7" width="9.90625" style="31" hidden="1" customWidth="1"/>
    <col min="8" max="8" width="14.90625" style="31" hidden="1" customWidth="1"/>
    <col min="9" max="9" width="10.81640625" style="31" hidden="1" customWidth="1"/>
    <col min="10" max="10" width="25.81640625" style="33" hidden="1" customWidth="1"/>
    <col min="11" max="12" width="9.90625" style="34" hidden="1" customWidth="1"/>
    <col min="13" max="13" width="25.81640625" style="33" hidden="1" customWidth="1"/>
    <col min="14" max="15" width="9.90625" style="34" hidden="1" customWidth="1"/>
    <col min="16" max="16" width="25.81640625" style="33" hidden="1" customWidth="1"/>
    <col min="17" max="18" width="9.90625" style="34" hidden="1" customWidth="1"/>
    <col min="19" max="19" width="25.81640625" style="33" hidden="1" customWidth="1"/>
    <col min="20" max="23" width="8.81640625" style="31" hidden="1" customWidth="1"/>
    <col min="24" max="24" width="11.81640625" style="36" hidden="1" customWidth="1"/>
    <col min="25" max="25" width="18.1796875" style="37" hidden="1" customWidth="1"/>
    <col min="26" max="26" width="13.08984375" style="37" hidden="1" customWidth="1"/>
    <col min="27" max="27" width="25.81640625" style="38" hidden="1" customWidth="1"/>
    <col min="28" max="30" width="7.81640625" style="31" hidden="1" customWidth="1"/>
    <col min="31" max="31" width="7.81640625" style="31" hidden="1" customWidth="1" collapsed="1"/>
    <col min="32" max="33" width="7.81640625" style="31" hidden="1" customWidth="1"/>
    <col min="34" max="34" width="8.81640625" style="31" hidden="1" customWidth="1"/>
    <col min="35" max="35" width="18.6328125" style="31" hidden="1" customWidth="1"/>
    <col min="36" max="38" width="15" style="31" hidden="1" customWidth="1"/>
    <col min="39" max="39" width="13.81640625" style="31" customWidth="1"/>
    <col min="40" max="50" width="15" style="31" customWidth="1"/>
    <col min="51" max="51" width="21.7265625" style="31" customWidth="1"/>
    <col min="52" max="52" width="11.81640625" style="31" customWidth="1"/>
    <col min="53" max="56" width="7.81640625" style="31" customWidth="1"/>
    <col min="57" max="57" width="7.81640625" style="35" customWidth="1"/>
    <col min="58" max="58" width="7.81640625" style="31" customWidth="1"/>
    <col min="59" max="59" width="7.81640625" style="35" customWidth="1"/>
    <col min="60" max="60" width="7.81640625" style="31" customWidth="1"/>
    <col min="61" max="61" width="7.81640625" style="35" customWidth="1"/>
    <col min="62" max="66" width="7.81640625" style="31" customWidth="1"/>
    <col min="67" max="67" width="8.81640625" style="35" customWidth="1"/>
    <col min="68" max="68" width="7.81640625" style="31" customWidth="1"/>
    <col min="69" max="69" width="7.54296875" style="34" customWidth="1"/>
    <col min="70" max="70" width="10" style="34" customWidth="1"/>
    <col min="71" max="71" width="8.90625" style="34" customWidth="1"/>
    <col min="72" max="72" width="7.54296875" style="34" customWidth="1"/>
    <col min="73" max="73" width="8.90625" style="34" customWidth="1"/>
    <col min="74" max="76" width="7.54296875" style="34" customWidth="1"/>
    <col min="77" max="91" width="7.81640625" style="31" customWidth="1"/>
    <col min="92" max="92" width="7.81640625" style="35" customWidth="1"/>
    <col min="93" max="93" width="7.81640625" style="31" customWidth="1"/>
    <col min="94" max="94" width="7.81640625" style="35" customWidth="1"/>
    <col min="95" max="98" width="7.81640625" style="31" customWidth="1"/>
    <col min="99" max="99" width="10.81640625" style="31" customWidth="1"/>
    <col min="100" max="101" width="8.36328125" style="31" customWidth="1"/>
    <col min="102" max="102" width="8.453125" style="31" customWidth="1"/>
    <col min="103" max="105" width="8.36328125" style="31" customWidth="1"/>
    <col min="106" max="106" width="8.453125" style="31" customWidth="1"/>
    <col min="107" max="107" width="8.36328125" style="31" customWidth="1"/>
    <col min="108" max="108" width="10.6328125" style="31"/>
    <col min="109" max="109" width="12.6328125" style="31" customWidth="1"/>
    <col min="110" max="16384" width="10.6328125" style="31"/>
  </cols>
  <sheetData>
    <row r="1" spans="1:107" s="80" customFormat="1" ht="43.5" x14ac:dyDescent="0.35">
      <c r="A1" s="52" t="s">
        <v>1278</v>
      </c>
      <c r="B1" s="52" t="s">
        <v>1279</v>
      </c>
      <c r="C1" s="53" t="s">
        <v>1280</v>
      </c>
      <c r="D1" s="52" t="s">
        <v>1281</v>
      </c>
      <c r="E1" s="52" t="s">
        <v>1282</v>
      </c>
      <c r="F1" s="52" t="s">
        <v>1283</v>
      </c>
      <c r="G1" s="54" t="s">
        <v>1302</v>
      </c>
      <c r="H1" s="55" t="s">
        <v>1286</v>
      </c>
      <c r="I1" s="56" t="s">
        <v>1285</v>
      </c>
      <c r="J1" s="57" t="s">
        <v>1287</v>
      </c>
      <c r="K1" s="58" t="s">
        <v>1288</v>
      </c>
      <c r="L1" s="58" t="s">
        <v>1289</v>
      </c>
      <c r="M1" s="58" t="s">
        <v>1290</v>
      </c>
      <c r="N1" s="59" t="s">
        <v>1291</v>
      </c>
      <c r="O1" s="59" t="s">
        <v>1292</v>
      </c>
      <c r="P1" s="59" t="s">
        <v>1293</v>
      </c>
      <c r="Q1" s="60" t="s">
        <v>1294</v>
      </c>
      <c r="R1" s="60" t="s">
        <v>1295</v>
      </c>
      <c r="S1" s="60" t="s">
        <v>1296</v>
      </c>
      <c r="T1" s="56" t="s">
        <v>1297</v>
      </c>
      <c r="U1" s="56" t="s">
        <v>1361</v>
      </c>
      <c r="V1" s="56" t="s">
        <v>1362</v>
      </c>
      <c r="W1" s="56" t="s">
        <v>1363</v>
      </c>
      <c r="X1" s="61" t="s">
        <v>1303</v>
      </c>
      <c r="Y1" s="62" t="s">
        <v>1298</v>
      </c>
      <c r="Z1" s="62" t="s">
        <v>1284</v>
      </c>
      <c r="AA1" s="63" t="s">
        <v>1299</v>
      </c>
      <c r="AB1" s="64" t="s">
        <v>1300</v>
      </c>
      <c r="AC1" s="65" t="s">
        <v>1301</v>
      </c>
      <c r="AD1" s="65" t="s">
        <v>1304</v>
      </c>
      <c r="AE1" s="49" t="s">
        <v>1305</v>
      </c>
      <c r="AF1" s="66" t="s">
        <v>1306</v>
      </c>
      <c r="AG1" s="67" t="s">
        <v>1307</v>
      </c>
      <c r="AH1" s="62" t="s">
        <v>1308</v>
      </c>
      <c r="AI1" s="62" t="s">
        <v>1309</v>
      </c>
      <c r="AJ1" s="49" t="s">
        <v>1310</v>
      </c>
      <c r="AK1" s="50" t="s">
        <v>1364</v>
      </c>
      <c r="AL1" s="68" t="s">
        <v>1365</v>
      </c>
      <c r="AM1" s="69" t="s">
        <v>1380</v>
      </c>
      <c r="AN1" s="69" t="s">
        <v>1385</v>
      </c>
      <c r="AO1" s="69" t="s">
        <v>1386</v>
      </c>
      <c r="AP1" s="69" t="s">
        <v>1387</v>
      </c>
      <c r="AQ1" s="69" t="s">
        <v>1390</v>
      </c>
      <c r="AR1" s="69" t="s">
        <v>1388</v>
      </c>
      <c r="AS1" s="69" t="s">
        <v>1389</v>
      </c>
      <c r="AT1" s="69" t="s">
        <v>1391</v>
      </c>
      <c r="AU1" s="69" t="s">
        <v>1381</v>
      </c>
      <c r="AV1" s="69" t="s">
        <v>1382</v>
      </c>
      <c r="AW1" s="70" t="s">
        <v>1383</v>
      </c>
      <c r="AX1" s="70" t="s">
        <v>1384</v>
      </c>
      <c r="AY1" s="49" t="s">
        <v>1311</v>
      </c>
      <c r="AZ1" s="71" t="s">
        <v>1312</v>
      </c>
      <c r="BA1" s="71" t="s">
        <v>1313</v>
      </c>
      <c r="BB1" s="71" t="s">
        <v>1314</v>
      </c>
      <c r="BC1" s="71" t="s">
        <v>1315</v>
      </c>
      <c r="BD1" s="71" t="s">
        <v>1316</v>
      </c>
      <c r="BE1" s="72" t="s">
        <v>1317</v>
      </c>
      <c r="BF1" s="71" t="s">
        <v>1318</v>
      </c>
      <c r="BG1" s="72" t="s">
        <v>1319</v>
      </c>
      <c r="BH1" s="71" t="s">
        <v>1320</v>
      </c>
      <c r="BI1" s="72" t="s">
        <v>1321</v>
      </c>
      <c r="BJ1" s="71" t="s">
        <v>1322</v>
      </c>
      <c r="BK1" s="71" t="s">
        <v>1323</v>
      </c>
      <c r="BL1" s="71" t="s">
        <v>1324</v>
      </c>
      <c r="BM1" s="71" t="s">
        <v>1393</v>
      </c>
      <c r="BN1" s="71" t="s">
        <v>1271</v>
      </c>
      <c r="BO1" s="73" t="s">
        <v>1325</v>
      </c>
      <c r="BP1" s="61" t="s">
        <v>1326</v>
      </c>
      <c r="BQ1" s="74" t="s">
        <v>1327</v>
      </c>
      <c r="BR1" s="75" t="s">
        <v>1328</v>
      </c>
      <c r="BS1" s="74" t="s">
        <v>1329</v>
      </c>
      <c r="BT1" s="74" t="s">
        <v>1330</v>
      </c>
      <c r="BU1" s="74" t="s">
        <v>1331</v>
      </c>
      <c r="BV1" s="74" t="s">
        <v>1332</v>
      </c>
      <c r="BW1" s="76" t="s">
        <v>1333</v>
      </c>
      <c r="BX1" s="76" t="s">
        <v>1334</v>
      </c>
      <c r="BY1" s="77" t="s">
        <v>1335</v>
      </c>
      <c r="BZ1" s="77" t="s">
        <v>1336</v>
      </c>
      <c r="CA1" s="77" t="s">
        <v>1337</v>
      </c>
      <c r="CB1" s="77" t="s">
        <v>1338</v>
      </c>
      <c r="CC1" s="77" t="s">
        <v>1339</v>
      </c>
      <c r="CD1" s="77" t="s">
        <v>1340</v>
      </c>
      <c r="CE1" s="77" t="s">
        <v>1341</v>
      </c>
      <c r="CF1" s="77" t="s">
        <v>1342</v>
      </c>
      <c r="CG1" s="77" t="s">
        <v>1343</v>
      </c>
      <c r="CH1" s="77" t="s">
        <v>1344</v>
      </c>
      <c r="CI1" s="77" t="s">
        <v>1345</v>
      </c>
      <c r="CJ1" s="77" t="s">
        <v>1346</v>
      </c>
      <c r="CK1" s="78" t="s">
        <v>1347</v>
      </c>
      <c r="CL1" s="78" t="s">
        <v>1348</v>
      </c>
      <c r="CM1" s="79" t="s">
        <v>1352</v>
      </c>
      <c r="CN1" s="79" t="s">
        <v>1349</v>
      </c>
      <c r="CO1" s="79" t="s">
        <v>1351</v>
      </c>
      <c r="CP1" s="79" t="s">
        <v>1350</v>
      </c>
      <c r="CQ1" s="77" t="s">
        <v>1272</v>
      </c>
      <c r="CR1" s="77" t="s">
        <v>1273</v>
      </c>
      <c r="CS1" s="77" t="s">
        <v>1274</v>
      </c>
      <c r="CT1" s="77" t="s">
        <v>1275</v>
      </c>
      <c r="CU1" s="39" t="s">
        <v>1353</v>
      </c>
      <c r="CV1" s="39" t="s">
        <v>1354</v>
      </c>
      <c r="CW1" s="40" t="s">
        <v>1355</v>
      </c>
      <c r="CX1" s="41" t="s">
        <v>1356</v>
      </c>
      <c r="CY1" s="42" t="s">
        <v>1392</v>
      </c>
      <c r="CZ1" s="43" t="s">
        <v>1357</v>
      </c>
      <c r="DA1" s="40" t="s">
        <v>1358</v>
      </c>
      <c r="DB1" s="41" t="s">
        <v>1359</v>
      </c>
      <c r="DC1" s="42" t="s">
        <v>1360</v>
      </c>
    </row>
    <row r="2" spans="1:107" x14ac:dyDescent="0.35">
      <c r="A2" s="1" t="s">
        <v>1</v>
      </c>
      <c r="B2" s="5" t="s">
        <v>0</v>
      </c>
      <c r="C2" s="3" t="s">
        <v>2</v>
      </c>
      <c r="D2" s="4" t="s">
        <v>3</v>
      </c>
      <c r="E2" s="5">
        <v>5</v>
      </c>
      <c r="F2" s="5">
        <v>27</v>
      </c>
      <c r="G2" s="2">
        <v>0.76520135566188197</v>
      </c>
      <c r="H2" s="2" t="s">
        <v>1276</v>
      </c>
      <c r="I2" s="6" t="s">
        <v>4</v>
      </c>
      <c r="J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RUSHDAN BIN RUSMI </v>
      </c>
      <c r="K2" s="8">
        <v>11753</v>
      </c>
      <c r="L2" s="8" t="s">
        <v>8</v>
      </c>
      <c r="M2" s="7" t="s">
        <v>9</v>
      </c>
      <c r="N2" s="8">
        <v>7085</v>
      </c>
      <c r="O2" s="8" t="s">
        <v>10</v>
      </c>
      <c r="P2" s="7" t="s">
        <v>11</v>
      </c>
      <c r="Q2" s="8">
        <v>24267</v>
      </c>
      <c r="R2" s="8" t="s">
        <v>12</v>
      </c>
      <c r="S2" s="7" t="s">
        <v>5</v>
      </c>
      <c r="T2" s="10">
        <v>12514</v>
      </c>
      <c r="U2" s="10">
        <v>0</v>
      </c>
      <c r="V2" s="10">
        <v>0</v>
      </c>
      <c r="W2" s="10">
        <v>1</v>
      </c>
      <c r="X2" s="10">
        <v>35063</v>
      </c>
      <c r="Y2" s="12" t="s">
        <v>14</v>
      </c>
      <c r="Z2" s="12" t="s">
        <v>1277</v>
      </c>
      <c r="AA2" s="13" t="s">
        <v>15</v>
      </c>
      <c r="AB2" s="14">
        <v>1438</v>
      </c>
      <c r="AC2" s="15" t="s">
        <v>16</v>
      </c>
      <c r="AD2" s="16">
        <v>27894</v>
      </c>
      <c r="AE2" s="14">
        <v>15032</v>
      </c>
      <c r="AF2" s="14">
        <v>7874</v>
      </c>
      <c r="AG2" s="14">
        <v>13594</v>
      </c>
      <c r="AH2" s="14" t="s">
        <v>17</v>
      </c>
      <c r="AI2" s="15" t="s">
        <v>18</v>
      </c>
      <c r="AJ2" s="14">
        <v>1</v>
      </c>
      <c r="AK2" s="14">
        <v>0</v>
      </c>
      <c r="AL2" s="14">
        <v>0</v>
      </c>
      <c r="AM2" s="51">
        <v>46096</v>
      </c>
      <c r="AN2" s="51">
        <v>39914</v>
      </c>
      <c r="AO2" s="51">
        <v>3895</v>
      </c>
      <c r="AP2" s="51">
        <v>413</v>
      </c>
      <c r="AQ2" s="51">
        <v>1403</v>
      </c>
      <c r="AR2" s="51">
        <v>160</v>
      </c>
      <c r="AS2" s="51">
        <v>304</v>
      </c>
      <c r="AT2" s="51">
        <v>7</v>
      </c>
      <c r="AU2" s="51">
        <v>23084</v>
      </c>
      <c r="AV2" s="51">
        <v>23012</v>
      </c>
      <c r="AW2" s="51">
        <v>19821</v>
      </c>
      <c r="AX2" s="51">
        <v>26275</v>
      </c>
      <c r="AY2" s="14">
        <v>17832</v>
      </c>
      <c r="AZ2" s="14">
        <v>60192</v>
      </c>
      <c r="BA2" s="14">
        <v>9</v>
      </c>
      <c r="BB2" s="14">
        <v>2191</v>
      </c>
      <c r="BC2" s="14">
        <v>57992</v>
      </c>
      <c r="BD2" s="14">
        <v>51890</v>
      </c>
      <c r="BE2" s="11">
        <f>Table14[[#This Row],[Melayu_Voters_GE15]]/Table14[[#This Row],[All_Voters_GE15]]</f>
        <v>0.86207469431153638</v>
      </c>
      <c r="BF2" s="14">
        <v>4862</v>
      </c>
      <c r="BG2" s="11">
        <f>Table14[[#This Row],[Chinese_Voters_GE15]]/Table14[[#This Row],[All_Voters_GE15]]</f>
        <v>8.0774853801169597E-2</v>
      </c>
      <c r="BH2" s="14">
        <v>533</v>
      </c>
      <c r="BI2" s="11">
        <f>Table14[[#This Row],[India_Voters_GE15]]/Table14[[#This Row],[All_Voters_GE15]]</f>
        <v>8.8549973418394472E-3</v>
      </c>
      <c r="BJ2" s="14">
        <v>6</v>
      </c>
      <c r="BK2" s="14">
        <v>192</v>
      </c>
      <c r="BL2" s="14">
        <v>327</v>
      </c>
      <c r="BM2" s="14">
        <v>2382</v>
      </c>
      <c r="BN2" s="14">
        <f>Table14[[#This Row],[Lain_Voters_GE15]]+Table14[[#This Row],[Swak_Voters_GE15]]+Table14[[#This Row],[Sabah_Voters_GE15]]+Table14[[#This Row],[OA_Voters_GE15]]</f>
        <v>2907</v>
      </c>
      <c r="BO2" s="11">
        <f>Table14[[#This Row],[Base_Stock_GE15]]/Table14[[#This Row],[All_Voters_GE15]]</f>
        <v>0.58251927166400852</v>
      </c>
      <c r="BP2" s="14">
        <v>26761</v>
      </c>
      <c r="BQ2" s="10">
        <v>17218</v>
      </c>
      <c r="BR2" s="44">
        <v>10015</v>
      </c>
      <c r="BS2" s="10">
        <v>3234</v>
      </c>
      <c r="BT2" s="10">
        <v>29090</v>
      </c>
      <c r="BU2" s="10">
        <v>16967</v>
      </c>
      <c r="BV2" s="10">
        <v>10901</v>
      </c>
      <c r="BW2" s="10">
        <f>BS2+BT2</f>
        <v>32324</v>
      </c>
      <c r="BX2" s="10">
        <f>BU2+BV2</f>
        <v>27868</v>
      </c>
      <c r="BY2" s="14">
        <v>61462</v>
      </c>
      <c r="BZ2" s="14">
        <v>0</v>
      </c>
      <c r="CA2" s="14">
        <v>1843</v>
      </c>
      <c r="CB2" s="14">
        <v>59619</v>
      </c>
      <c r="CC2" s="14">
        <v>53293</v>
      </c>
      <c r="CD2" s="14">
        <v>4643</v>
      </c>
      <c r="CE2" s="14">
        <v>517</v>
      </c>
      <c r="CF2" s="14">
        <v>7</v>
      </c>
      <c r="CG2" s="14">
        <v>185</v>
      </c>
      <c r="CH2" s="14">
        <v>308</v>
      </c>
      <c r="CI2" s="14">
        <v>2509</v>
      </c>
      <c r="CJ2" s="14">
        <f>SUM(CF2:CI2)</f>
        <v>3009</v>
      </c>
      <c r="CK2" s="14">
        <v>30749</v>
      </c>
      <c r="CL2" s="14">
        <v>30713</v>
      </c>
      <c r="CM2" s="14">
        <v>30603</v>
      </c>
      <c r="CN2" s="11">
        <f>CM2/$BY2</f>
        <v>0.49791741238488824</v>
      </c>
      <c r="CO2" s="14">
        <v>30859</v>
      </c>
      <c r="CP2" s="11">
        <f>CO2/$BY2</f>
        <v>0.50208258761511182</v>
      </c>
      <c r="CQ2" s="29">
        <v>3205</v>
      </c>
      <c r="CR2" s="29">
        <v>28816</v>
      </c>
      <c r="CS2" s="29">
        <v>16832</v>
      </c>
      <c r="CT2" s="29">
        <v>10869</v>
      </c>
      <c r="CU2" s="45">
        <v>21292</v>
      </c>
      <c r="CV2" s="45">
        <v>7471</v>
      </c>
      <c r="CW2" s="45">
        <v>9734</v>
      </c>
      <c r="CX2" s="45">
        <v>2739</v>
      </c>
      <c r="CY2" s="45">
        <v>1348</v>
      </c>
      <c r="CZ2" s="45">
        <v>134</v>
      </c>
      <c r="DA2" s="45">
        <v>134</v>
      </c>
      <c r="DB2" s="45">
        <v>134</v>
      </c>
      <c r="DC2" s="45">
        <v>123</v>
      </c>
    </row>
    <row r="3" spans="1:107" x14ac:dyDescent="0.35">
      <c r="A3" s="1" t="s">
        <v>1</v>
      </c>
      <c r="B3" s="5" t="s">
        <v>0</v>
      </c>
      <c r="C3" s="3" t="s">
        <v>19</v>
      </c>
      <c r="D3" s="4" t="s">
        <v>20</v>
      </c>
      <c r="E3" s="5">
        <v>5</v>
      </c>
      <c r="F3" s="5">
        <v>31</v>
      </c>
      <c r="G3" s="2">
        <v>0.76128454828410741</v>
      </c>
      <c r="H3" s="2" t="s">
        <v>1276</v>
      </c>
      <c r="I3" s="9" t="s">
        <v>13</v>
      </c>
      <c r="J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CIKGU ZAKRI </v>
      </c>
      <c r="K3" s="8">
        <v>15370</v>
      </c>
      <c r="L3" s="8" t="s">
        <v>8</v>
      </c>
      <c r="M3" s="7" t="s">
        <v>22</v>
      </c>
      <c r="N3" s="8">
        <v>15143</v>
      </c>
      <c r="O3" s="8" t="s">
        <v>23</v>
      </c>
      <c r="P3" s="7" t="s">
        <v>24</v>
      </c>
      <c r="Q3" s="8">
        <v>24562</v>
      </c>
      <c r="R3" s="8" t="s">
        <v>25</v>
      </c>
      <c r="S3" s="7" t="s">
        <v>21</v>
      </c>
      <c r="T3" s="10">
        <v>9192</v>
      </c>
      <c r="U3" s="10">
        <v>0</v>
      </c>
      <c r="V3" s="10">
        <v>0</v>
      </c>
      <c r="W3" s="10">
        <v>1</v>
      </c>
      <c r="X3" s="10">
        <v>38511</v>
      </c>
      <c r="Y3" s="12" t="s">
        <v>26</v>
      </c>
      <c r="Z3" s="12" t="s">
        <v>1277</v>
      </c>
      <c r="AA3" s="13" t="s">
        <v>27</v>
      </c>
      <c r="AB3" s="14">
        <v>5603</v>
      </c>
      <c r="AC3" s="15" t="s">
        <v>28</v>
      </c>
      <c r="AD3" s="16">
        <v>33071</v>
      </c>
      <c r="AE3" s="14">
        <v>15306</v>
      </c>
      <c r="AF3" s="14">
        <v>8465</v>
      </c>
      <c r="AG3" s="14">
        <v>20909</v>
      </c>
      <c r="AH3" s="14" t="s">
        <v>17</v>
      </c>
      <c r="AI3" s="15" t="s">
        <v>29</v>
      </c>
      <c r="AJ3" s="14">
        <v>0</v>
      </c>
      <c r="AK3" s="14">
        <v>0</v>
      </c>
      <c r="AL3" s="14">
        <v>0</v>
      </c>
      <c r="AM3" s="51">
        <v>55938</v>
      </c>
      <c r="AN3" s="51">
        <v>45706</v>
      </c>
      <c r="AO3" s="51">
        <v>8518</v>
      </c>
      <c r="AP3" s="51">
        <v>952</v>
      </c>
      <c r="AQ3" s="51">
        <v>669</v>
      </c>
      <c r="AR3" s="51">
        <v>50</v>
      </c>
      <c r="AS3" s="51">
        <v>42</v>
      </c>
      <c r="AT3" s="51">
        <v>1</v>
      </c>
      <c r="AU3" s="51">
        <v>27395</v>
      </c>
      <c r="AV3" s="51">
        <v>28543</v>
      </c>
      <c r="AW3" s="51">
        <v>22697</v>
      </c>
      <c r="AX3" s="51">
        <v>33241</v>
      </c>
      <c r="AY3" s="14">
        <v>20823.333333333332</v>
      </c>
      <c r="AZ3" s="14">
        <v>74859</v>
      </c>
      <c r="BA3" s="14">
        <v>6</v>
      </c>
      <c r="BB3" s="14">
        <v>1016</v>
      </c>
      <c r="BC3" s="14">
        <v>73837</v>
      </c>
      <c r="BD3" s="14">
        <v>61186</v>
      </c>
      <c r="BE3" s="11">
        <f>Table14[[#This Row],[Melayu_Voters_GE15]]/Table14[[#This Row],[All_Voters_GE15]]</f>
        <v>0.81734995124166765</v>
      </c>
      <c r="BF3" s="14">
        <v>11005</v>
      </c>
      <c r="BG3" s="11">
        <f>Table14[[#This Row],[Chinese_Voters_GE15]]/Table14[[#This Row],[All_Voters_GE15]]</f>
        <v>0.14700971159112464</v>
      </c>
      <c r="BH3" s="14">
        <v>1187</v>
      </c>
      <c r="BI3" s="11">
        <f>Table14[[#This Row],[India_Voters_GE15]]/Table14[[#This Row],[All_Voters_GE15]]</f>
        <v>1.5856476843131753E-2</v>
      </c>
      <c r="BJ3" s="14">
        <v>3</v>
      </c>
      <c r="BK3" s="14">
        <v>96</v>
      </c>
      <c r="BL3" s="14">
        <v>53</v>
      </c>
      <c r="BM3" s="14">
        <v>1329</v>
      </c>
      <c r="BN3" s="14">
        <f>Table14[[#This Row],[Lain_Voters_GE15]]+Table14[[#This Row],[Swak_Voters_GE15]]+Table14[[#This Row],[Sabah_Voters_GE15]]+Table14[[#This Row],[OA_Voters_GE15]]</f>
        <v>1481</v>
      </c>
      <c r="BO3" s="11">
        <f>Table14[[#This Row],[Base_Stock_GE15]]/Table14[[#This Row],[All_Voters_GE15]]</f>
        <v>0.51444716066204466</v>
      </c>
      <c r="BP3" s="14">
        <v>27937</v>
      </c>
      <c r="BQ3" s="10">
        <v>22494</v>
      </c>
      <c r="BR3" s="44">
        <v>12967</v>
      </c>
      <c r="BS3" s="10">
        <v>4225</v>
      </c>
      <c r="BT3" s="10">
        <v>34847</v>
      </c>
      <c r="BU3" s="10">
        <v>21661</v>
      </c>
      <c r="BV3" s="10">
        <v>14126</v>
      </c>
      <c r="BW3" s="10">
        <f t="shared" ref="BW3:BW18" si="0">BS3+BT3</f>
        <v>39072</v>
      </c>
      <c r="BX3" s="10">
        <f t="shared" ref="BX3:BX18" si="1">BU3+BV3</f>
        <v>35787</v>
      </c>
      <c r="BY3" s="14">
        <v>76682</v>
      </c>
      <c r="BZ3" s="14">
        <v>0</v>
      </c>
      <c r="CA3" s="14">
        <v>1026</v>
      </c>
      <c r="CB3" s="14">
        <v>75656</v>
      </c>
      <c r="CC3" s="14">
        <v>63209</v>
      </c>
      <c r="CD3" s="14">
        <v>10753</v>
      </c>
      <c r="CE3" s="14">
        <v>1131</v>
      </c>
      <c r="CF3" s="14">
        <v>6</v>
      </c>
      <c r="CG3" s="14">
        <v>117</v>
      </c>
      <c r="CH3" s="14">
        <v>65</v>
      </c>
      <c r="CI3" s="14">
        <v>1401</v>
      </c>
      <c r="CJ3" s="14">
        <f t="shared" ref="CJ3:CJ18" si="2">SUM(CF3:CI3)</f>
        <v>1589</v>
      </c>
      <c r="CK3" s="14">
        <v>37941</v>
      </c>
      <c r="CL3" s="14">
        <v>38741</v>
      </c>
      <c r="CM3" s="14">
        <v>37311</v>
      </c>
      <c r="CN3" s="11">
        <f t="shared" ref="CN3:CN18" si="3">CM3/$BY3</f>
        <v>0.48656790381054221</v>
      </c>
      <c r="CO3" s="14">
        <v>39371</v>
      </c>
      <c r="CP3" s="11">
        <f t="shared" ref="CP3:CP18" si="4">CO3/$BY3</f>
        <v>0.51343209618945773</v>
      </c>
      <c r="CQ3" s="29">
        <v>4195</v>
      </c>
      <c r="CR3" s="29">
        <v>34525</v>
      </c>
      <c r="CS3" s="29">
        <v>21466</v>
      </c>
      <c r="CT3" s="29">
        <v>14057</v>
      </c>
      <c r="CU3" s="45">
        <v>17255</v>
      </c>
      <c r="CV3" s="45">
        <v>5839</v>
      </c>
      <c r="CW3" s="45">
        <v>8242</v>
      </c>
      <c r="CX3" s="45">
        <v>2147</v>
      </c>
      <c r="CY3" s="45">
        <v>1027</v>
      </c>
      <c r="CZ3" s="45">
        <v>122</v>
      </c>
      <c r="DA3" s="45">
        <v>122</v>
      </c>
      <c r="DB3" s="45">
        <v>121</v>
      </c>
      <c r="DC3" s="45">
        <v>116</v>
      </c>
    </row>
    <row r="4" spans="1:107" x14ac:dyDescent="0.35">
      <c r="A4" s="1" t="s">
        <v>1</v>
      </c>
      <c r="B4" s="5" t="s">
        <v>0</v>
      </c>
      <c r="C4" s="3" t="s">
        <v>30</v>
      </c>
      <c r="D4" s="4" t="s">
        <v>31</v>
      </c>
      <c r="E4" s="5">
        <v>5</v>
      </c>
      <c r="F4" s="5">
        <v>30</v>
      </c>
      <c r="G4" s="2">
        <v>0.78199947434128392</v>
      </c>
      <c r="H4" s="2" t="s">
        <v>1276</v>
      </c>
      <c r="I4" s="9" t="s">
        <v>13</v>
      </c>
      <c r="J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SHAHIDAN BIN KASIM </v>
      </c>
      <c r="K4" s="8">
        <v>8242</v>
      </c>
      <c r="L4" s="8" t="s">
        <v>8</v>
      </c>
      <c r="M4" s="7" t="s">
        <v>33</v>
      </c>
      <c r="N4" s="8">
        <v>7089</v>
      </c>
      <c r="O4" s="8" t="s">
        <v>23</v>
      </c>
      <c r="P4" s="7" t="s">
        <v>34</v>
      </c>
      <c r="Q4" s="8">
        <v>31548</v>
      </c>
      <c r="R4" s="8" t="s">
        <v>12</v>
      </c>
      <c r="S4" s="7" t="s">
        <v>32</v>
      </c>
      <c r="T4" s="10">
        <v>23306</v>
      </c>
      <c r="U4" s="10">
        <v>0</v>
      </c>
      <c r="V4" s="10">
        <v>0</v>
      </c>
      <c r="W4" s="10">
        <v>1</v>
      </c>
      <c r="X4" s="10">
        <v>33397</v>
      </c>
      <c r="Y4" s="12" t="s">
        <v>14</v>
      </c>
      <c r="Z4" s="12" t="s">
        <v>1277</v>
      </c>
      <c r="AA4" s="13" t="s">
        <v>35</v>
      </c>
      <c r="AB4" s="14">
        <v>4856</v>
      </c>
      <c r="AC4" s="15" t="s">
        <v>36</v>
      </c>
      <c r="AD4" s="16">
        <v>31485</v>
      </c>
      <c r="AE4" s="14">
        <v>16547</v>
      </c>
      <c r="AF4" s="14">
        <v>11362</v>
      </c>
      <c r="AG4" s="14">
        <v>11691</v>
      </c>
      <c r="AH4" s="14" t="s">
        <v>17</v>
      </c>
      <c r="AI4" s="15" t="s">
        <v>18</v>
      </c>
      <c r="AJ4" s="14">
        <v>1</v>
      </c>
      <c r="AK4" s="14">
        <v>0</v>
      </c>
      <c r="AL4" s="14">
        <v>0</v>
      </c>
      <c r="AM4" s="51">
        <v>48187</v>
      </c>
      <c r="AN4" s="51">
        <v>42246</v>
      </c>
      <c r="AO4" s="51">
        <v>3690</v>
      </c>
      <c r="AP4" s="51">
        <v>809</v>
      </c>
      <c r="AQ4" s="51">
        <v>1365</v>
      </c>
      <c r="AR4" s="51">
        <v>48</v>
      </c>
      <c r="AS4" s="51">
        <v>26</v>
      </c>
      <c r="AT4" s="51">
        <v>3</v>
      </c>
      <c r="AU4" s="51">
        <v>23441</v>
      </c>
      <c r="AV4" s="51">
        <v>24746</v>
      </c>
      <c r="AW4" s="51">
        <v>18702</v>
      </c>
      <c r="AX4" s="51">
        <v>29485</v>
      </c>
      <c r="AY4" s="14">
        <v>17458</v>
      </c>
      <c r="AZ4" s="14">
        <v>60876</v>
      </c>
      <c r="BA4" s="14">
        <v>4</v>
      </c>
      <c r="BB4" s="14">
        <v>459</v>
      </c>
      <c r="BC4" s="14">
        <v>60413</v>
      </c>
      <c r="BD4" s="14">
        <v>53163</v>
      </c>
      <c r="BE4" s="11">
        <f>Table14[[#This Row],[Melayu_Voters_GE15]]/Table14[[#This Row],[All_Voters_GE15]]</f>
        <v>0.87329982259018335</v>
      </c>
      <c r="BF4" s="14">
        <v>4734</v>
      </c>
      <c r="BG4" s="11">
        <f>Table14[[#This Row],[Chinese_Voters_GE15]]/Table14[[#This Row],[All_Voters_GE15]]</f>
        <v>7.7764636309875818E-2</v>
      </c>
      <c r="BH4" s="14">
        <v>1000</v>
      </c>
      <c r="BI4" s="11">
        <f>Table14[[#This Row],[India_Voters_GE15]]/Table14[[#This Row],[All_Voters_GE15]]</f>
        <v>1.6426834877455811E-2</v>
      </c>
      <c r="BJ4" s="14">
        <v>5</v>
      </c>
      <c r="BK4" s="14">
        <v>71</v>
      </c>
      <c r="BL4" s="14">
        <v>50</v>
      </c>
      <c r="BM4" s="14">
        <v>1853</v>
      </c>
      <c r="BN4" s="14">
        <f>Table14[[#This Row],[Lain_Voters_GE15]]+Table14[[#This Row],[Swak_Voters_GE15]]+Table14[[#This Row],[Sabah_Voters_GE15]]+Table14[[#This Row],[OA_Voters_GE15]]</f>
        <v>1979</v>
      </c>
      <c r="BO4" s="11">
        <f>Table14[[#This Row],[Base_Stock_GE15]]/Table14[[#This Row],[All_Voters_GE15]]</f>
        <v>0.54860700440239174</v>
      </c>
      <c r="BP4" s="14">
        <v>14485</v>
      </c>
      <c r="BQ4" s="10">
        <v>15813</v>
      </c>
      <c r="BR4" s="44">
        <v>10082</v>
      </c>
      <c r="BS4" s="10">
        <v>3260</v>
      </c>
      <c r="BT4" s="10">
        <v>26968</v>
      </c>
      <c r="BU4" s="10">
        <v>19250</v>
      </c>
      <c r="BV4" s="10">
        <v>11398</v>
      </c>
      <c r="BW4" s="10">
        <f t="shared" si="0"/>
        <v>30228</v>
      </c>
      <c r="BX4" s="10">
        <f t="shared" si="1"/>
        <v>30648</v>
      </c>
      <c r="BY4" s="14">
        <v>61904</v>
      </c>
      <c r="BZ4" s="14">
        <v>0</v>
      </c>
      <c r="CA4" s="14">
        <v>386</v>
      </c>
      <c r="CB4" s="14">
        <v>61518</v>
      </c>
      <c r="CC4" s="14">
        <v>54245</v>
      </c>
      <c r="CD4" s="14">
        <v>4673</v>
      </c>
      <c r="CE4" s="14">
        <v>969</v>
      </c>
      <c r="CF4" s="14">
        <v>8</v>
      </c>
      <c r="CG4" s="14">
        <v>69</v>
      </c>
      <c r="CH4" s="14">
        <v>54</v>
      </c>
      <c r="CI4" s="14">
        <v>1886</v>
      </c>
      <c r="CJ4" s="14">
        <f t="shared" si="2"/>
        <v>2017</v>
      </c>
      <c r="CK4" s="14">
        <v>30162</v>
      </c>
      <c r="CL4" s="14">
        <v>31742</v>
      </c>
      <c r="CM4" s="14">
        <v>28861</v>
      </c>
      <c r="CN4" s="11">
        <f t="shared" si="3"/>
        <v>0.46622189196174724</v>
      </c>
      <c r="CO4" s="14">
        <v>33043</v>
      </c>
      <c r="CP4" s="11">
        <f t="shared" si="4"/>
        <v>0.53377810803825276</v>
      </c>
      <c r="CQ4" s="29">
        <v>3227</v>
      </c>
      <c r="CR4" s="29">
        <v>26758</v>
      </c>
      <c r="CS4" s="29">
        <v>19122</v>
      </c>
      <c r="CT4" s="29">
        <v>11378</v>
      </c>
      <c r="CU4" s="45">
        <v>20307</v>
      </c>
      <c r="CV4" s="45">
        <v>7235</v>
      </c>
      <c r="CW4" s="45">
        <v>9330</v>
      </c>
      <c r="CX4" s="45">
        <v>2461</v>
      </c>
      <c r="CY4" s="45">
        <v>1281</v>
      </c>
      <c r="CZ4" s="45">
        <v>133</v>
      </c>
      <c r="DA4" s="45">
        <v>132</v>
      </c>
      <c r="DB4" s="45">
        <v>132</v>
      </c>
      <c r="DC4" s="45">
        <v>128</v>
      </c>
    </row>
    <row r="5" spans="1:107" x14ac:dyDescent="0.35">
      <c r="A5" s="1" t="s">
        <v>37</v>
      </c>
      <c r="B5" s="5" t="s">
        <v>0</v>
      </c>
      <c r="C5" s="3" t="s">
        <v>38</v>
      </c>
      <c r="D5" s="4" t="s">
        <v>39</v>
      </c>
      <c r="E5" s="5">
        <v>2</v>
      </c>
      <c r="F5" s="5">
        <v>27</v>
      </c>
      <c r="G5" s="2">
        <v>0.72065232040972194</v>
      </c>
      <c r="H5" s="2" t="s">
        <v>1276</v>
      </c>
      <c r="I5" s="9" t="s">
        <v>13</v>
      </c>
      <c r="J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MOHD SUHAIMI ABDULLAH </v>
      </c>
      <c r="K5" s="8">
        <v>11945</v>
      </c>
      <c r="L5" s="8" t="s">
        <v>8</v>
      </c>
      <c r="M5" s="7" t="s">
        <v>41</v>
      </c>
      <c r="N5" s="8">
        <v>5417</v>
      </c>
      <c r="O5" s="8" t="s">
        <v>10</v>
      </c>
      <c r="P5" s="7" t="s">
        <v>42</v>
      </c>
      <c r="Q5" s="8">
        <v>25463</v>
      </c>
      <c r="R5" s="8" t="s">
        <v>25</v>
      </c>
      <c r="S5" s="7" t="s">
        <v>40</v>
      </c>
      <c r="T5" s="10">
        <v>13518</v>
      </c>
      <c r="U5" s="10">
        <v>0</v>
      </c>
      <c r="V5" s="10">
        <v>0</v>
      </c>
      <c r="W5" s="10">
        <v>1</v>
      </c>
      <c r="X5" s="10">
        <v>30077</v>
      </c>
      <c r="Y5" s="12" t="s">
        <v>43</v>
      </c>
      <c r="Z5" s="12" t="s">
        <v>1277</v>
      </c>
      <c r="AA5" s="13" t="s">
        <v>44</v>
      </c>
      <c r="AB5" s="14">
        <v>8893</v>
      </c>
      <c r="AC5" s="15" t="s">
        <v>45</v>
      </c>
      <c r="AD5" s="16">
        <v>25263</v>
      </c>
      <c r="AE5" s="14">
        <v>10061</v>
      </c>
      <c r="AF5" s="14">
        <v>5512</v>
      </c>
      <c r="AG5" s="14">
        <v>18954</v>
      </c>
      <c r="AH5" s="14" t="s">
        <v>17</v>
      </c>
      <c r="AI5" s="15" t="s">
        <v>18</v>
      </c>
      <c r="AJ5" s="14">
        <v>0</v>
      </c>
      <c r="AK5" s="14">
        <v>1</v>
      </c>
      <c r="AL5" s="14">
        <v>0</v>
      </c>
      <c r="AM5" s="51">
        <v>42697</v>
      </c>
      <c r="AN5" s="51">
        <v>38585</v>
      </c>
      <c r="AO5" s="51">
        <v>2778</v>
      </c>
      <c r="AP5" s="51">
        <v>1048</v>
      </c>
      <c r="AQ5" s="51">
        <v>130</v>
      </c>
      <c r="AR5" s="51">
        <v>87</v>
      </c>
      <c r="AS5" s="51">
        <v>68</v>
      </c>
      <c r="AT5" s="51">
        <v>1</v>
      </c>
      <c r="AU5" s="51">
        <v>21875</v>
      </c>
      <c r="AV5" s="51">
        <v>20822</v>
      </c>
      <c r="AW5" s="51">
        <v>18351</v>
      </c>
      <c r="AX5" s="51">
        <v>24346</v>
      </c>
      <c r="AY5" s="14">
        <v>15076.666666666666</v>
      </c>
      <c r="AZ5" s="14">
        <v>66777</v>
      </c>
      <c r="BA5" s="14">
        <v>4</v>
      </c>
      <c r="BB5" s="14">
        <v>1126</v>
      </c>
      <c r="BC5" s="14">
        <v>65647</v>
      </c>
      <c r="BD5" s="14">
        <v>60026</v>
      </c>
      <c r="BE5" s="11">
        <f>Table14[[#This Row],[Melayu_Voters_GE15]]/Table14[[#This Row],[All_Voters_GE15]]</f>
        <v>0.89890231666591791</v>
      </c>
      <c r="BF5" s="14">
        <v>4504</v>
      </c>
      <c r="BG5" s="11">
        <f>Table14[[#This Row],[Chinese_Voters_GE15]]/Table14[[#This Row],[All_Voters_GE15]]</f>
        <v>6.7448372942779694E-2</v>
      </c>
      <c r="BH5" s="14">
        <v>1622</v>
      </c>
      <c r="BI5" s="11">
        <f>Table14[[#This Row],[India_Voters_GE15]]/Table14[[#This Row],[All_Voters_GE15]]</f>
        <v>2.4289800380370485E-2</v>
      </c>
      <c r="BJ5" s="14">
        <v>3</v>
      </c>
      <c r="BK5" s="14">
        <v>204</v>
      </c>
      <c r="BL5" s="14">
        <v>104</v>
      </c>
      <c r="BM5" s="14">
        <v>314</v>
      </c>
      <c r="BN5" s="14">
        <f>Table14[[#This Row],[Lain_Voters_GE15]]+Table14[[#This Row],[Swak_Voters_GE15]]+Table14[[#This Row],[Sabah_Voters_GE15]]+Table14[[#This Row],[OA_Voters_GE15]]</f>
        <v>625</v>
      </c>
      <c r="BO5" s="11">
        <f>Table14[[#This Row],[Base_Stock_GE15]]/Table14[[#This Row],[All_Voters_GE15]]</f>
        <v>0.45040957215807836</v>
      </c>
      <c r="BP5" s="14">
        <v>27937</v>
      </c>
      <c r="BQ5" s="10">
        <v>22494</v>
      </c>
      <c r="BR5" s="44">
        <v>12967</v>
      </c>
      <c r="BS5" s="10">
        <v>4225</v>
      </c>
      <c r="BT5" s="10">
        <v>34847</v>
      </c>
      <c r="BU5" s="10">
        <v>21661</v>
      </c>
      <c r="BV5" s="10">
        <v>14126</v>
      </c>
      <c r="BW5" s="10">
        <f t="shared" si="0"/>
        <v>39072</v>
      </c>
      <c r="BX5" s="10">
        <f t="shared" si="1"/>
        <v>35787</v>
      </c>
      <c r="BY5" s="14">
        <v>70986</v>
      </c>
      <c r="BZ5" s="14">
        <v>0</v>
      </c>
      <c r="CA5" s="14">
        <v>1246</v>
      </c>
      <c r="CB5" s="14">
        <v>69740</v>
      </c>
      <c r="CC5" s="14">
        <v>63962</v>
      </c>
      <c r="CD5" s="14">
        <v>4639</v>
      </c>
      <c r="CE5" s="14">
        <v>1663</v>
      </c>
      <c r="CF5" s="14">
        <v>7</v>
      </c>
      <c r="CG5" s="14">
        <v>230</v>
      </c>
      <c r="CH5" s="14">
        <v>119</v>
      </c>
      <c r="CI5" s="14">
        <v>366</v>
      </c>
      <c r="CJ5" s="14">
        <f t="shared" si="2"/>
        <v>722</v>
      </c>
      <c r="CK5" s="14">
        <v>36045</v>
      </c>
      <c r="CL5" s="14">
        <v>34941</v>
      </c>
      <c r="CM5" s="14">
        <v>39541</v>
      </c>
      <c r="CN5" s="11">
        <f t="shared" si="3"/>
        <v>0.55702532893810042</v>
      </c>
      <c r="CO5" s="14">
        <v>31445</v>
      </c>
      <c r="CP5" s="11">
        <f t="shared" si="4"/>
        <v>0.44297467106189953</v>
      </c>
      <c r="CQ5" s="29">
        <v>4181</v>
      </c>
      <c r="CR5" s="29">
        <v>34638</v>
      </c>
      <c r="CS5" s="29">
        <v>20571</v>
      </c>
      <c r="CT5" s="29">
        <v>8294</v>
      </c>
      <c r="CU5" s="45">
        <v>14129</v>
      </c>
      <c r="CV5" s="45">
        <v>4821</v>
      </c>
      <c r="CW5" s="45">
        <v>5923</v>
      </c>
      <c r="CX5" s="45">
        <v>1718</v>
      </c>
      <c r="CY5" s="45">
        <v>1667</v>
      </c>
      <c r="CZ5" s="45">
        <v>103</v>
      </c>
      <c r="DA5" s="45">
        <v>103</v>
      </c>
      <c r="DB5" s="45">
        <v>101</v>
      </c>
      <c r="DC5" s="45">
        <v>101</v>
      </c>
    </row>
    <row r="6" spans="1:107" x14ac:dyDescent="0.35">
      <c r="A6" s="1" t="s">
        <v>37</v>
      </c>
      <c r="B6" s="5" t="s">
        <v>0</v>
      </c>
      <c r="C6" s="3" t="s">
        <v>46</v>
      </c>
      <c r="D6" s="4" t="s">
        <v>47</v>
      </c>
      <c r="E6" s="5">
        <v>2</v>
      </c>
      <c r="F6" s="5">
        <v>35</v>
      </c>
      <c r="G6" s="2">
        <v>0.78266593689442465</v>
      </c>
      <c r="H6" s="2" t="s">
        <v>1276</v>
      </c>
      <c r="I6" s="9" t="s">
        <v>13</v>
      </c>
      <c r="J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DR. ABD GHANI AHMAD </v>
      </c>
      <c r="K6" s="8">
        <v>11229</v>
      </c>
      <c r="L6" s="8" t="s">
        <v>8</v>
      </c>
      <c r="M6" s="7" t="s">
        <v>49</v>
      </c>
      <c r="N6" s="8">
        <v>6149</v>
      </c>
      <c r="O6" s="8" t="s">
        <v>23</v>
      </c>
      <c r="P6" s="7" t="s">
        <v>50</v>
      </c>
      <c r="Q6" s="8">
        <v>31685</v>
      </c>
      <c r="R6" s="8" t="s">
        <v>12</v>
      </c>
      <c r="S6" s="7" t="s">
        <v>48</v>
      </c>
      <c r="T6" s="10">
        <v>20456</v>
      </c>
      <c r="U6" s="10">
        <v>0</v>
      </c>
      <c r="V6" s="10">
        <v>0</v>
      </c>
      <c r="W6" s="10">
        <v>1</v>
      </c>
      <c r="X6" s="10">
        <v>27957</v>
      </c>
      <c r="Y6" s="12" t="s">
        <v>43</v>
      </c>
      <c r="Z6" s="12" t="s">
        <v>1277</v>
      </c>
      <c r="AA6" s="13" t="s">
        <v>51</v>
      </c>
      <c r="AB6" s="14">
        <v>5866</v>
      </c>
      <c r="AC6" s="15" t="s">
        <v>52</v>
      </c>
      <c r="AD6" s="16">
        <v>28801</v>
      </c>
      <c r="AE6" s="14">
        <v>12413</v>
      </c>
      <c r="AF6" s="14">
        <v>12829</v>
      </c>
      <c r="AG6" s="14">
        <v>18695</v>
      </c>
      <c r="AH6" s="14" t="s">
        <v>17</v>
      </c>
      <c r="AI6" s="15" t="s">
        <v>18</v>
      </c>
      <c r="AJ6" s="14">
        <v>0</v>
      </c>
      <c r="AK6" s="14">
        <v>1</v>
      </c>
      <c r="AL6" s="14">
        <v>0</v>
      </c>
      <c r="AM6" s="51">
        <v>54132</v>
      </c>
      <c r="AN6" s="51">
        <v>49388</v>
      </c>
      <c r="AO6" s="51">
        <v>3730</v>
      </c>
      <c r="AP6" s="51">
        <v>80</v>
      </c>
      <c r="AQ6" s="51">
        <v>911</v>
      </c>
      <c r="AR6" s="51">
        <v>14</v>
      </c>
      <c r="AS6" s="51">
        <v>9</v>
      </c>
      <c r="AT6" s="51">
        <v>0</v>
      </c>
      <c r="AU6" s="51">
        <v>26515</v>
      </c>
      <c r="AV6" s="51">
        <v>27617</v>
      </c>
      <c r="AW6" s="51">
        <v>20316</v>
      </c>
      <c r="AX6" s="51">
        <v>33816</v>
      </c>
      <c r="AY6" s="14">
        <v>18666</v>
      </c>
      <c r="AZ6" s="14">
        <v>67601</v>
      </c>
      <c r="BA6" s="14">
        <v>2</v>
      </c>
      <c r="BB6" s="14">
        <v>35</v>
      </c>
      <c r="BC6" s="14">
        <v>67564</v>
      </c>
      <c r="BD6" s="14">
        <v>61407</v>
      </c>
      <c r="BE6" s="11">
        <f>Table14[[#This Row],[Melayu_Voters_GE15]]/Table14[[#This Row],[All_Voters_GE15]]</f>
        <v>0.90837413647727105</v>
      </c>
      <c r="BF6" s="14">
        <v>4570</v>
      </c>
      <c r="BG6" s="11">
        <f>Table14[[#This Row],[Chinese_Voters_GE15]]/Table14[[#This Row],[All_Voters_GE15]]</f>
        <v>6.7602550258132277E-2</v>
      </c>
      <c r="BH6" s="14">
        <v>99</v>
      </c>
      <c r="BI6" s="11">
        <f>Table14[[#This Row],[India_Voters_GE15]]/Table14[[#This Row],[All_Voters_GE15]]</f>
        <v>1.4644753775831718E-3</v>
      </c>
      <c r="BJ6" s="14">
        <v>0</v>
      </c>
      <c r="BK6" s="14">
        <v>37</v>
      </c>
      <c r="BL6" s="14">
        <v>19</v>
      </c>
      <c r="BM6" s="14">
        <v>1469</v>
      </c>
      <c r="BN6" s="14">
        <f>Table14[[#This Row],[Lain_Voters_GE15]]+Table14[[#This Row],[Swak_Voters_GE15]]+Table14[[#This Row],[Sabah_Voters_GE15]]+Table14[[#This Row],[OA_Voters_GE15]]</f>
        <v>1525</v>
      </c>
      <c r="BO6" s="11">
        <f>Table14[[#This Row],[Base_Stock_GE15]]/Table14[[#This Row],[All_Voters_GE15]]</f>
        <v>0.41355897102113875</v>
      </c>
      <c r="BP6" s="14">
        <v>20575</v>
      </c>
      <c r="BQ6" s="10">
        <v>17156</v>
      </c>
      <c r="BR6" s="44">
        <v>10791</v>
      </c>
      <c r="BS6" s="10">
        <v>3462</v>
      </c>
      <c r="BT6" s="10">
        <v>29093</v>
      </c>
      <c r="BU6" s="10">
        <v>21845</v>
      </c>
      <c r="BV6" s="10">
        <v>13201</v>
      </c>
      <c r="BW6" s="10">
        <f t="shared" si="0"/>
        <v>32555</v>
      </c>
      <c r="BX6" s="10">
        <f t="shared" si="1"/>
        <v>35046</v>
      </c>
      <c r="BY6" s="14">
        <v>68313</v>
      </c>
      <c r="BZ6" s="14">
        <v>0</v>
      </c>
      <c r="CA6" s="14">
        <v>25</v>
      </c>
      <c r="CB6" s="14">
        <v>68288</v>
      </c>
      <c r="CC6" s="14">
        <v>62264</v>
      </c>
      <c r="CD6" s="14">
        <v>4389</v>
      </c>
      <c r="CE6" s="14">
        <v>96</v>
      </c>
      <c r="CF6" s="14">
        <v>0</v>
      </c>
      <c r="CG6" s="14">
        <v>39</v>
      </c>
      <c r="CH6" s="14">
        <v>19</v>
      </c>
      <c r="CI6" s="14">
        <v>1506</v>
      </c>
      <c r="CJ6" s="14">
        <f t="shared" si="2"/>
        <v>1564</v>
      </c>
      <c r="CK6" s="14">
        <v>33573</v>
      </c>
      <c r="CL6" s="14">
        <v>34740</v>
      </c>
      <c r="CM6" s="14">
        <v>30575</v>
      </c>
      <c r="CN6" s="11">
        <f t="shared" si="3"/>
        <v>0.44757220441204454</v>
      </c>
      <c r="CO6" s="14">
        <v>37738</v>
      </c>
      <c r="CP6" s="11">
        <f t="shared" si="4"/>
        <v>0.55242779558795541</v>
      </c>
      <c r="CQ6" s="29">
        <v>2930</v>
      </c>
      <c r="CR6" s="29">
        <v>28720</v>
      </c>
      <c r="CS6" s="29">
        <v>22239</v>
      </c>
      <c r="CT6" s="29">
        <v>13570</v>
      </c>
      <c r="CU6" s="45">
        <v>20681</v>
      </c>
      <c r="CV6" s="45">
        <v>8025</v>
      </c>
      <c r="CW6" s="45">
        <v>9375</v>
      </c>
      <c r="CX6" s="45">
        <v>2174</v>
      </c>
      <c r="CY6" s="45">
        <v>1107</v>
      </c>
      <c r="CZ6" s="45">
        <v>168</v>
      </c>
      <c r="DA6" s="45">
        <v>168</v>
      </c>
      <c r="DB6" s="45">
        <v>166</v>
      </c>
      <c r="DC6" s="45">
        <v>150</v>
      </c>
    </row>
    <row r="7" spans="1:107" x14ac:dyDescent="0.35">
      <c r="A7" s="1" t="s">
        <v>37</v>
      </c>
      <c r="B7" s="5" t="s">
        <v>0</v>
      </c>
      <c r="C7" s="3" t="s">
        <v>53</v>
      </c>
      <c r="D7" s="4" t="s">
        <v>54</v>
      </c>
      <c r="E7" s="5">
        <v>2</v>
      </c>
      <c r="F7" s="5">
        <v>44</v>
      </c>
      <c r="G7" s="2">
        <v>0.78070913072807413</v>
      </c>
      <c r="H7" s="2" t="s">
        <v>1276</v>
      </c>
      <c r="I7" s="9" t="s">
        <v>13</v>
      </c>
      <c r="J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WIRA DR. KU ABD RAHMAN BIN KU ISMAIL </v>
      </c>
      <c r="K7" s="8">
        <v>14489</v>
      </c>
      <c r="L7" s="8" t="s">
        <v>8</v>
      </c>
      <c r="M7" s="7" t="s">
        <v>56</v>
      </c>
      <c r="N7" s="8">
        <v>16000</v>
      </c>
      <c r="O7" s="8" t="s">
        <v>23</v>
      </c>
      <c r="P7" s="7" t="s">
        <v>57</v>
      </c>
      <c r="Q7" s="8">
        <v>47584</v>
      </c>
      <c r="R7" s="8" t="s">
        <v>25</v>
      </c>
      <c r="S7" s="7" t="s">
        <v>55</v>
      </c>
      <c r="T7" s="10">
        <v>31584</v>
      </c>
      <c r="U7" s="10">
        <v>0</v>
      </c>
      <c r="V7" s="10">
        <v>0</v>
      </c>
      <c r="W7" s="10">
        <v>1</v>
      </c>
      <c r="X7" s="10">
        <v>42010</v>
      </c>
      <c r="Y7" s="12" t="s">
        <v>43</v>
      </c>
      <c r="Z7" s="12" t="s">
        <v>1277</v>
      </c>
      <c r="AA7" s="13" t="s">
        <v>58</v>
      </c>
      <c r="AB7" s="14">
        <v>13009</v>
      </c>
      <c r="AC7" s="15" t="s">
        <v>59</v>
      </c>
      <c r="AD7" s="16">
        <v>47453</v>
      </c>
      <c r="AE7" s="14">
        <v>16975</v>
      </c>
      <c r="AF7" s="14">
        <v>13375</v>
      </c>
      <c r="AG7" s="14">
        <v>29984</v>
      </c>
      <c r="AH7" s="14" t="s">
        <v>17</v>
      </c>
      <c r="AI7" s="15" t="s">
        <v>18</v>
      </c>
      <c r="AJ7" s="14">
        <v>0</v>
      </c>
      <c r="AK7" s="14">
        <v>1</v>
      </c>
      <c r="AL7" s="14">
        <v>0</v>
      </c>
      <c r="AM7" s="51">
        <v>73881</v>
      </c>
      <c r="AN7" s="51">
        <v>63900</v>
      </c>
      <c r="AO7" s="51">
        <v>6302</v>
      </c>
      <c r="AP7" s="51">
        <v>2574</v>
      </c>
      <c r="AQ7" s="51">
        <v>834</v>
      </c>
      <c r="AR7" s="51">
        <v>147</v>
      </c>
      <c r="AS7" s="51">
        <v>120</v>
      </c>
      <c r="AT7" s="51">
        <v>4</v>
      </c>
      <c r="AU7" s="51">
        <v>36309</v>
      </c>
      <c r="AV7" s="51">
        <v>37572</v>
      </c>
      <c r="AW7" s="51">
        <v>31442</v>
      </c>
      <c r="AX7" s="51">
        <v>42439</v>
      </c>
      <c r="AY7" s="14">
        <v>24829.333333333332</v>
      </c>
      <c r="AZ7" s="14">
        <v>108217</v>
      </c>
      <c r="BA7" s="14">
        <v>17</v>
      </c>
      <c r="BB7" s="14">
        <v>2567</v>
      </c>
      <c r="BC7" s="14">
        <v>105633</v>
      </c>
      <c r="BD7" s="14">
        <v>93209</v>
      </c>
      <c r="BE7" s="11">
        <f>Table14[[#This Row],[Melayu_Voters_GE15]]/Table14[[#This Row],[All_Voters_GE15]]</f>
        <v>0.86131568977147765</v>
      </c>
      <c r="BF7" s="14">
        <v>9401</v>
      </c>
      <c r="BG7" s="11">
        <f>Table14[[#This Row],[Chinese_Voters_GE15]]/Table14[[#This Row],[All_Voters_GE15]]</f>
        <v>8.6871748431392476E-2</v>
      </c>
      <c r="BH7" s="14">
        <v>3705</v>
      </c>
      <c r="BI7" s="11">
        <f>Table14[[#This Row],[India_Voters_GE15]]/Table14[[#This Row],[All_Voters_GE15]]</f>
        <v>3.4236765018435179E-2</v>
      </c>
      <c r="BJ7" s="14">
        <v>9</v>
      </c>
      <c r="BK7" s="14">
        <v>206</v>
      </c>
      <c r="BL7" s="14">
        <v>160</v>
      </c>
      <c r="BM7" s="14">
        <v>1527</v>
      </c>
      <c r="BN7" s="14">
        <f>Table14[[#This Row],[Lain_Voters_GE15]]+Table14[[#This Row],[Swak_Voters_GE15]]+Table14[[#This Row],[Sabah_Voters_GE15]]+Table14[[#This Row],[OA_Voters_GE15]]</f>
        <v>1902</v>
      </c>
      <c r="BO7" s="11">
        <f>Table14[[#This Row],[Base_Stock_GE15]]/Table14[[#This Row],[All_Voters_GE15]]</f>
        <v>0.3882014840551854</v>
      </c>
      <c r="BP7" s="14">
        <v>19392</v>
      </c>
      <c r="BQ7" s="10">
        <v>38101</v>
      </c>
      <c r="BR7" s="44">
        <v>22056</v>
      </c>
      <c r="BS7" s="10">
        <v>7242</v>
      </c>
      <c r="BT7" s="10">
        <v>53799</v>
      </c>
      <c r="BU7" s="10">
        <v>30215</v>
      </c>
      <c r="BV7" s="10">
        <v>16961</v>
      </c>
      <c r="BW7" s="10">
        <f t="shared" si="0"/>
        <v>61041</v>
      </c>
      <c r="BX7" s="10">
        <f t="shared" si="1"/>
        <v>47176</v>
      </c>
      <c r="BY7" s="14">
        <v>113477</v>
      </c>
      <c r="BZ7" s="14">
        <v>0</v>
      </c>
      <c r="CA7" s="14">
        <v>2411</v>
      </c>
      <c r="CB7" s="14">
        <v>111066</v>
      </c>
      <c r="CC7" s="14">
        <v>98411</v>
      </c>
      <c r="CD7" s="14">
        <v>9418</v>
      </c>
      <c r="CE7" s="14">
        <v>3676</v>
      </c>
      <c r="CF7" s="14">
        <v>10</v>
      </c>
      <c r="CG7" s="14">
        <v>207</v>
      </c>
      <c r="CH7" s="14">
        <v>158</v>
      </c>
      <c r="CI7" s="14">
        <v>1597</v>
      </c>
      <c r="CJ7" s="14">
        <f t="shared" si="2"/>
        <v>1972</v>
      </c>
      <c r="CK7" s="14">
        <v>56324</v>
      </c>
      <c r="CL7" s="14">
        <v>57153</v>
      </c>
      <c r="CM7" s="14">
        <v>60578</v>
      </c>
      <c r="CN7" s="11">
        <f t="shared" si="3"/>
        <v>0.53383505027450495</v>
      </c>
      <c r="CO7" s="14">
        <v>52899</v>
      </c>
      <c r="CP7" s="11">
        <f t="shared" si="4"/>
        <v>0.46616494972549505</v>
      </c>
      <c r="CQ7" s="29">
        <v>6081</v>
      </c>
      <c r="CR7" s="29">
        <v>54040</v>
      </c>
      <c r="CS7" s="29">
        <v>30903</v>
      </c>
      <c r="CT7" s="29">
        <v>17772</v>
      </c>
      <c r="CU7" s="45">
        <v>22765</v>
      </c>
      <c r="CV7" s="45">
        <v>8912</v>
      </c>
      <c r="CW7" s="45">
        <v>10924</v>
      </c>
      <c r="CX7" s="45">
        <v>2071</v>
      </c>
      <c r="CY7" s="45">
        <v>858</v>
      </c>
      <c r="CZ7" s="45">
        <v>163</v>
      </c>
      <c r="DA7" s="45">
        <v>162</v>
      </c>
      <c r="DB7" s="45">
        <v>159</v>
      </c>
      <c r="DC7" s="45">
        <v>128</v>
      </c>
    </row>
    <row r="8" spans="1:107" x14ac:dyDescent="0.35">
      <c r="A8" s="1" t="s">
        <v>37</v>
      </c>
      <c r="B8" s="5" t="s">
        <v>0</v>
      </c>
      <c r="C8" s="3" t="s">
        <v>60</v>
      </c>
      <c r="D8" s="4" t="s">
        <v>61</v>
      </c>
      <c r="E8" s="5">
        <v>2</v>
      </c>
      <c r="F8" s="5">
        <v>31</v>
      </c>
      <c r="G8" s="2">
        <v>0.8250175567668796</v>
      </c>
      <c r="H8" s="2" t="s">
        <v>1276</v>
      </c>
      <c r="I8" s="9" t="s">
        <v>13</v>
      </c>
      <c r="J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NURUL AMIN </v>
      </c>
      <c r="K8" s="8">
        <v>17258</v>
      </c>
      <c r="L8" s="8" t="s">
        <v>8</v>
      </c>
      <c r="M8" s="7" t="s">
        <v>63</v>
      </c>
      <c r="N8" s="8">
        <v>2702</v>
      </c>
      <c r="O8" s="8" t="s">
        <v>10</v>
      </c>
      <c r="P8" s="7" t="s">
        <v>64</v>
      </c>
      <c r="Q8" s="8">
        <v>28217</v>
      </c>
      <c r="R8" s="8" t="s">
        <v>12</v>
      </c>
      <c r="S8" s="7" t="s">
        <v>62</v>
      </c>
      <c r="T8" s="10">
        <v>10959</v>
      </c>
      <c r="U8" s="10">
        <v>0</v>
      </c>
      <c r="V8" s="10">
        <v>0</v>
      </c>
      <c r="W8" s="10">
        <v>1</v>
      </c>
      <c r="X8" s="10">
        <v>33054</v>
      </c>
      <c r="Y8" s="12" t="s">
        <v>14</v>
      </c>
      <c r="Z8" s="12" t="s">
        <v>1277</v>
      </c>
      <c r="AA8" s="13" t="s">
        <v>65</v>
      </c>
      <c r="AB8" s="14">
        <v>1099</v>
      </c>
      <c r="AC8" s="15" t="s">
        <v>66</v>
      </c>
      <c r="AD8" s="16">
        <v>26519</v>
      </c>
      <c r="AE8" s="14">
        <v>16384</v>
      </c>
      <c r="AF8" s="14">
        <v>15285</v>
      </c>
      <c r="AG8" s="14">
        <v>7254</v>
      </c>
      <c r="AH8" s="14" t="s">
        <v>17</v>
      </c>
      <c r="AI8" s="15" t="s">
        <v>10</v>
      </c>
      <c r="AJ8" s="14">
        <v>1</v>
      </c>
      <c r="AK8" s="14">
        <v>0</v>
      </c>
      <c r="AL8" s="14">
        <v>0</v>
      </c>
      <c r="AM8" s="51">
        <v>46644</v>
      </c>
      <c r="AN8" s="51">
        <v>42981</v>
      </c>
      <c r="AO8" s="51">
        <v>593</v>
      </c>
      <c r="AP8" s="51">
        <v>92</v>
      </c>
      <c r="AQ8" s="51">
        <v>2947</v>
      </c>
      <c r="AR8" s="51">
        <v>19</v>
      </c>
      <c r="AS8" s="51">
        <v>11</v>
      </c>
      <c r="AT8" s="51">
        <v>1</v>
      </c>
      <c r="AU8" s="51">
        <v>22947</v>
      </c>
      <c r="AV8" s="51">
        <v>23697</v>
      </c>
      <c r="AW8" s="51">
        <v>20440</v>
      </c>
      <c r="AX8" s="51">
        <v>26204</v>
      </c>
      <c r="AY8" s="14">
        <v>17224</v>
      </c>
      <c r="AZ8" s="14">
        <v>59806</v>
      </c>
      <c r="BA8" s="14">
        <v>2</v>
      </c>
      <c r="BB8" s="14">
        <v>206</v>
      </c>
      <c r="BC8" s="14">
        <v>59598</v>
      </c>
      <c r="BD8" s="14">
        <v>54844</v>
      </c>
      <c r="BE8" s="11">
        <f>Table14[[#This Row],[Melayu_Voters_GE15]]/Table14[[#This Row],[All_Voters_GE15]]</f>
        <v>0.91703173594622611</v>
      </c>
      <c r="BF8" s="14">
        <v>784</v>
      </c>
      <c r="BG8" s="11">
        <f>Table14[[#This Row],[Chinese_Voters_GE15]]/Table14[[#This Row],[All_Voters_GE15]]</f>
        <v>1.3109052603417718E-2</v>
      </c>
      <c r="BH8" s="14">
        <v>99</v>
      </c>
      <c r="BI8" s="11">
        <f>Table14[[#This Row],[India_Voters_GE15]]/Table14[[#This Row],[All_Voters_GE15]]</f>
        <v>1.655352305788717E-3</v>
      </c>
      <c r="BJ8" s="14">
        <v>1</v>
      </c>
      <c r="BK8" s="14">
        <v>37</v>
      </c>
      <c r="BL8" s="14">
        <v>17</v>
      </c>
      <c r="BM8" s="14">
        <v>4024</v>
      </c>
      <c r="BN8" s="14">
        <f>Table14[[#This Row],[Lain_Voters_GE15]]+Table14[[#This Row],[Swak_Voters_GE15]]+Table14[[#This Row],[Sabah_Voters_GE15]]+Table14[[#This Row],[OA_Voters_GE15]]</f>
        <v>4079</v>
      </c>
      <c r="BO8" s="11">
        <f>Table14[[#This Row],[Base_Stock_GE15]]/Table14[[#This Row],[All_Voters_GE15]]</f>
        <v>0.55268702136909342</v>
      </c>
      <c r="BP8" s="14">
        <v>25672</v>
      </c>
      <c r="BQ8" s="10">
        <v>15870</v>
      </c>
      <c r="BR8" s="44">
        <v>10710</v>
      </c>
      <c r="BS8" s="10">
        <v>3356</v>
      </c>
      <c r="BT8" s="10">
        <v>28592</v>
      </c>
      <c r="BU8" s="10">
        <v>18386</v>
      </c>
      <c r="BV8" s="10">
        <v>9472</v>
      </c>
      <c r="BW8" s="10">
        <f t="shared" si="0"/>
        <v>31948</v>
      </c>
      <c r="BX8" s="10">
        <f t="shared" si="1"/>
        <v>27858</v>
      </c>
      <c r="BY8" s="14">
        <v>61694</v>
      </c>
      <c r="BZ8" s="14">
        <v>0</v>
      </c>
      <c r="CA8" s="14">
        <v>248</v>
      </c>
      <c r="CB8" s="14">
        <v>61446</v>
      </c>
      <c r="CC8" s="14">
        <v>56599</v>
      </c>
      <c r="CD8" s="14">
        <v>780</v>
      </c>
      <c r="CE8" s="14">
        <v>92</v>
      </c>
      <c r="CF8" s="14">
        <v>2</v>
      </c>
      <c r="CG8" s="14">
        <v>44</v>
      </c>
      <c r="CH8" s="14">
        <v>18</v>
      </c>
      <c r="CI8" s="14">
        <v>4159</v>
      </c>
      <c r="CJ8" s="14">
        <f t="shared" si="2"/>
        <v>4223</v>
      </c>
      <c r="CK8" s="14">
        <v>30242</v>
      </c>
      <c r="CL8" s="14">
        <v>31452</v>
      </c>
      <c r="CM8" s="14">
        <v>30592</v>
      </c>
      <c r="CN8" s="11">
        <f t="shared" si="3"/>
        <v>0.49586669692352581</v>
      </c>
      <c r="CO8" s="14">
        <v>31102</v>
      </c>
      <c r="CP8" s="11">
        <f t="shared" si="4"/>
        <v>0.50413330307647419</v>
      </c>
      <c r="CQ8" s="29">
        <v>2824</v>
      </c>
      <c r="CR8" s="29">
        <v>28416</v>
      </c>
      <c r="CS8" s="29">
        <v>18880</v>
      </c>
      <c r="CT8" s="29">
        <v>9839</v>
      </c>
      <c r="CU8" s="45">
        <v>17928</v>
      </c>
      <c r="CV8" s="45">
        <v>5974</v>
      </c>
      <c r="CW8" s="45">
        <v>7747</v>
      </c>
      <c r="CX8" s="45">
        <v>2604</v>
      </c>
      <c r="CY8" s="45">
        <v>1603</v>
      </c>
      <c r="CZ8" s="45">
        <v>144</v>
      </c>
      <c r="DA8" s="45">
        <v>144</v>
      </c>
      <c r="DB8" s="45">
        <v>144</v>
      </c>
      <c r="DC8" s="45">
        <v>139</v>
      </c>
    </row>
    <row r="9" spans="1:107" x14ac:dyDescent="0.35">
      <c r="A9" s="1" t="s">
        <v>37</v>
      </c>
      <c r="B9" s="5" t="s">
        <v>0</v>
      </c>
      <c r="C9" s="3" t="s">
        <v>67</v>
      </c>
      <c r="D9" s="4" t="s">
        <v>68</v>
      </c>
      <c r="E9" s="5">
        <v>3</v>
      </c>
      <c r="F9" s="5">
        <v>52</v>
      </c>
      <c r="G9" s="2">
        <v>0.77479579929988329</v>
      </c>
      <c r="H9" s="2" t="s">
        <v>1276</v>
      </c>
      <c r="I9" s="9" t="s">
        <v>13</v>
      </c>
      <c r="J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AHMAD YAHAYA </v>
      </c>
      <c r="K9" s="8">
        <v>14523</v>
      </c>
      <c r="L9" s="8" t="s">
        <v>8</v>
      </c>
      <c r="M9" s="7" t="s">
        <v>70</v>
      </c>
      <c r="N9" s="8">
        <v>20524</v>
      </c>
      <c r="O9" s="8" t="s">
        <v>10</v>
      </c>
      <c r="P9" s="7" t="s">
        <v>71</v>
      </c>
      <c r="Q9" s="8">
        <v>52275</v>
      </c>
      <c r="R9" s="8" t="s">
        <v>12</v>
      </c>
      <c r="S9" s="7" t="s">
        <v>69</v>
      </c>
      <c r="T9" s="10">
        <v>31751</v>
      </c>
      <c r="U9" s="10">
        <v>0</v>
      </c>
      <c r="V9" s="10">
        <v>0</v>
      </c>
      <c r="W9" s="10">
        <v>1</v>
      </c>
      <c r="X9" s="10">
        <v>39166</v>
      </c>
      <c r="Y9" s="12" t="s">
        <v>72</v>
      </c>
      <c r="Z9" s="12" t="s">
        <v>1277</v>
      </c>
      <c r="AA9" s="13" t="s">
        <v>73</v>
      </c>
      <c r="AB9" s="14">
        <v>5558</v>
      </c>
      <c r="AC9" s="15" t="s">
        <v>52</v>
      </c>
      <c r="AD9" s="16">
        <v>42505</v>
      </c>
      <c r="AE9" s="14">
        <v>18390</v>
      </c>
      <c r="AF9" s="14">
        <v>23401</v>
      </c>
      <c r="AG9" s="14">
        <v>28959</v>
      </c>
      <c r="AH9" s="14" t="s">
        <v>17</v>
      </c>
      <c r="AI9" s="15" t="s">
        <v>10</v>
      </c>
      <c r="AJ9" s="14">
        <v>0</v>
      </c>
      <c r="AK9" s="14">
        <v>0</v>
      </c>
      <c r="AL9" s="14">
        <v>0</v>
      </c>
      <c r="AM9" s="51">
        <v>86892</v>
      </c>
      <c r="AN9" s="51">
        <v>70767</v>
      </c>
      <c r="AO9" s="51">
        <v>13426</v>
      </c>
      <c r="AP9" s="51">
        <v>2178</v>
      </c>
      <c r="AQ9" s="51">
        <v>348</v>
      </c>
      <c r="AR9" s="51">
        <v>73</v>
      </c>
      <c r="AS9" s="51">
        <v>97</v>
      </c>
      <c r="AT9" s="51">
        <v>3</v>
      </c>
      <c r="AU9" s="51">
        <v>42664</v>
      </c>
      <c r="AV9" s="51">
        <v>44228</v>
      </c>
      <c r="AW9" s="51">
        <v>35358</v>
      </c>
      <c r="AX9" s="51">
        <v>51534</v>
      </c>
      <c r="AY9" s="14">
        <v>24869.666666666668</v>
      </c>
      <c r="AZ9" s="14">
        <v>114838</v>
      </c>
      <c r="BA9" s="14">
        <v>16</v>
      </c>
      <c r="BB9" s="14">
        <v>2293</v>
      </c>
      <c r="BC9" s="14">
        <v>112529</v>
      </c>
      <c r="BD9" s="14">
        <v>93660</v>
      </c>
      <c r="BE9" s="11">
        <f>Table14[[#This Row],[Melayu_Voters_GE15]]/Table14[[#This Row],[All_Voters_GE15]]</f>
        <v>0.81558369180933143</v>
      </c>
      <c r="BF9" s="14">
        <v>17433</v>
      </c>
      <c r="BG9" s="11">
        <f>Table14[[#This Row],[Chinese_Voters_GE15]]/Table14[[#This Row],[All_Voters_GE15]]</f>
        <v>0.15180515160486946</v>
      </c>
      <c r="BH9" s="14">
        <v>2940</v>
      </c>
      <c r="BI9" s="11">
        <f>Table14[[#This Row],[India_Voters_GE15]]/Table14[[#This Row],[All_Voters_GE15]]</f>
        <v>2.560128180567408E-2</v>
      </c>
      <c r="BJ9" s="14">
        <v>8</v>
      </c>
      <c r="BK9" s="14">
        <v>98</v>
      </c>
      <c r="BL9" s="14">
        <v>88</v>
      </c>
      <c r="BM9" s="14">
        <v>611</v>
      </c>
      <c r="BN9" s="14">
        <f>Table14[[#This Row],[Lain_Voters_GE15]]+Table14[[#This Row],[Swak_Voters_GE15]]+Table14[[#This Row],[Sabah_Voters_GE15]]+Table14[[#This Row],[OA_Voters_GE15]]</f>
        <v>805</v>
      </c>
      <c r="BO9" s="11">
        <f>Table14[[#This Row],[Base_Stock_GE15]]/Table14[[#This Row],[All_Voters_GE15]]</f>
        <v>0.34105435483028268</v>
      </c>
      <c r="BP9" s="14">
        <v>25840</v>
      </c>
      <c r="BQ9" s="10">
        <v>34069</v>
      </c>
      <c r="BR9" s="44">
        <v>19218</v>
      </c>
      <c r="BS9" s="10">
        <v>5946</v>
      </c>
      <c r="BT9" s="10">
        <v>53258</v>
      </c>
      <c r="BU9" s="10">
        <v>34586</v>
      </c>
      <c r="BV9" s="10">
        <v>21048</v>
      </c>
      <c r="BW9" s="10">
        <f t="shared" si="0"/>
        <v>59204</v>
      </c>
      <c r="BX9" s="10">
        <f t="shared" si="1"/>
        <v>55634</v>
      </c>
      <c r="BY9" s="14">
        <v>117483</v>
      </c>
      <c r="BZ9" s="14">
        <v>0</v>
      </c>
      <c r="CA9" s="14">
        <v>2453</v>
      </c>
      <c r="CB9" s="14">
        <v>115030</v>
      </c>
      <c r="CC9" s="14">
        <v>96787</v>
      </c>
      <c r="CD9" s="14">
        <v>16939</v>
      </c>
      <c r="CE9" s="14">
        <v>2886</v>
      </c>
      <c r="CF9" s="14">
        <v>7</v>
      </c>
      <c r="CG9" s="14">
        <v>127</v>
      </c>
      <c r="CH9" s="14">
        <v>88</v>
      </c>
      <c r="CI9" s="14">
        <v>649</v>
      </c>
      <c r="CJ9" s="14">
        <f t="shared" si="2"/>
        <v>871</v>
      </c>
      <c r="CK9" s="14">
        <v>58132</v>
      </c>
      <c r="CL9" s="14">
        <v>59351</v>
      </c>
      <c r="CM9" s="14">
        <v>56301</v>
      </c>
      <c r="CN9" s="11">
        <f t="shared" si="3"/>
        <v>0.47922678174714639</v>
      </c>
      <c r="CO9" s="14">
        <v>61182</v>
      </c>
      <c r="CP9" s="11">
        <f t="shared" si="4"/>
        <v>0.52077321825285361</v>
      </c>
      <c r="CQ9" s="29">
        <v>4955</v>
      </c>
      <c r="CR9" s="29">
        <v>52782</v>
      </c>
      <c r="CS9" s="29">
        <v>35111</v>
      </c>
      <c r="CT9" s="29">
        <v>22005</v>
      </c>
      <c r="CU9" s="45">
        <v>19460</v>
      </c>
      <c r="CV9" s="45">
        <v>7777</v>
      </c>
      <c r="CW9" s="45">
        <v>8872</v>
      </c>
      <c r="CX9" s="45">
        <v>2041</v>
      </c>
      <c r="CY9" s="45">
        <v>770</v>
      </c>
      <c r="CZ9" s="45">
        <v>164</v>
      </c>
      <c r="DA9" s="45">
        <v>164</v>
      </c>
      <c r="DB9" s="45">
        <v>155</v>
      </c>
      <c r="DC9" s="45">
        <v>128</v>
      </c>
    </row>
    <row r="10" spans="1:107" x14ac:dyDescent="0.35">
      <c r="A10" s="1" t="s">
        <v>37</v>
      </c>
      <c r="B10" s="5" t="s">
        <v>0</v>
      </c>
      <c r="C10" s="3" t="s">
        <v>74</v>
      </c>
      <c r="D10" s="4" t="s">
        <v>75</v>
      </c>
      <c r="E10" s="5">
        <v>3</v>
      </c>
      <c r="F10" s="5">
        <v>52</v>
      </c>
      <c r="G10" s="2">
        <v>0.73559824140989116</v>
      </c>
      <c r="H10" s="2" t="s">
        <v>1276</v>
      </c>
      <c r="I10" s="9" t="s">
        <v>13</v>
      </c>
      <c r="J1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AFNAN HAMIMI BIN DATO' HJ TAIB AZAMUDDIN </v>
      </c>
      <c r="K10" s="8">
        <v>8930</v>
      </c>
      <c r="L10" s="8" t="s">
        <v>77</v>
      </c>
      <c r="M10" s="7" t="s">
        <v>78</v>
      </c>
      <c r="N10" s="8">
        <v>27555</v>
      </c>
      <c r="O10" s="8" t="s">
        <v>23</v>
      </c>
      <c r="P10" s="7" t="s">
        <v>79</v>
      </c>
      <c r="Q10" s="8">
        <v>37486</v>
      </c>
      <c r="R10" s="8" t="s">
        <v>12</v>
      </c>
      <c r="S10" s="7" t="s">
        <v>76</v>
      </c>
      <c r="T10" s="10">
        <v>9931</v>
      </c>
      <c r="U10" s="10">
        <v>0</v>
      </c>
      <c r="V10" s="10">
        <v>0</v>
      </c>
      <c r="W10" s="10">
        <v>1</v>
      </c>
      <c r="X10" s="10">
        <v>33869</v>
      </c>
      <c r="Y10" s="12" t="s">
        <v>26</v>
      </c>
      <c r="Z10" s="12" t="s">
        <v>1277</v>
      </c>
      <c r="AA10" s="13" t="s">
        <v>80</v>
      </c>
      <c r="AB10" s="14">
        <v>15200</v>
      </c>
      <c r="AC10" s="15" t="s">
        <v>81</v>
      </c>
      <c r="AD10" s="16">
        <v>35299</v>
      </c>
      <c r="AE10" s="14">
        <v>14181</v>
      </c>
      <c r="AF10" s="14">
        <v>17275</v>
      </c>
      <c r="AG10" s="14">
        <v>32475</v>
      </c>
      <c r="AH10" s="14" t="s">
        <v>82</v>
      </c>
      <c r="AI10" s="15" t="s">
        <v>29</v>
      </c>
      <c r="AJ10" s="14">
        <v>0</v>
      </c>
      <c r="AK10" s="14">
        <v>0</v>
      </c>
      <c r="AL10" s="14">
        <v>0</v>
      </c>
      <c r="AM10" s="51">
        <v>80272</v>
      </c>
      <c r="AN10" s="51">
        <v>51040</v>
      </c>
      <c r="AO10" s="51">
        <v>25461</v>
      </c>
      <c r="AP10" s="51">
        <v>3419</v>
      </c>
      <c r="AQ10" s="51">
        <v>239</v>
      </c>
      <c r="AR10" s="51">
        <v>44</v>
      </c>
      <c r="AS10" s="51">
        <v>68</v>
      </c>
      <c r="AT10" s="51">
        <v>1</v>
      </c>
      <c r="AU10" s="51">
        <v>38787</v>
      </c>
      <c r="AV10" s="51">
        <v>41485</v>
      </c>
      <c r="AW10" s="51">
        <v>29177</v>
      </c>
      <c r="AX10" s="51">
        <v>51095</v>
      </c>
      <c r="AY10" s="14">
        <v>20137.666666666668</v>
      </c>
      <c r="AZ10" s="14">
        <v>105994</v>
      </c>
      <c r="BA10" s="14">
        <v>19</v>
      </c>
      <c r="BB10" s="14">
        <v>703</v>
      </c>
      <c r="BC10" s="14">
        <v>105272</v>
      </c>
      <c r="BD10" s="14">
        <v>67204</v>
      </c>
      <c r="BE10" s="11">
        <f>Table14[[#This Row],[Melayu_Voters_GE15]]/Table14[[#This Row],[All_Voters_GE15]]</f>
        <v>0.63403588882389572</v>
      </c>
      <c r="BF10" s="14">
        <v>33655</v>
      </c>
      <c r="BG10" s="11">
        <f>Table14[[#This Row],[Chinese_Voters_GE15]]/Table14[[#This Row],[All_Voters_GE15]]</f>
        <v>0.31751797271543675</v>
      </c>
      <c r="BH10" s="14">
        <v>4581</v>
      </c>
      <c r="BI10" s="11">
        <f>Table14[[#This Row],[India_Voters_GE15]]/Table14[[#This Row],[All_Voters_GE15]]</f>
        <v>4.3219427514764985E-2</v>
      </c>
      <c r="BJ10" s="14">
        <v>6</v>
      </c>
      <c r="BK10" s="14">
        <v>91</v>
      </c>
      <c r="BL10" s="14">
        <v>52</v>
      </c>
      <c r="BM10" s="14">
        <v>405</v>
      </c>
      <c r="BN10" s="14">
        <f>Table14[[#This Row],[Lain_Voters_GE15]]+Table14[[#This Row],[Swak_Voters_GE15]]+Table14[[#This Row],[Sabah_Voters_GE15]]+Table14[[#This Row],[OA_Voters_GE15]]</f>
        <v>554</v>
      </c>
      <c r="BO10" s="11">
        <f>Table14[[#This Row],[Base_Stock_GE15]]/Table14[[#This Row],[All_Voters_GE15]]</f>
        <v>0.3195369549219767</v>
      </c>
      <c r="BP10" s="14">
        <v>22598</v>
      </c>
      <c r="BQ10" s="10">
        <v>30968</v>
      </c>
      <c r="BR10" s="44">
        <v>15913</v>
      </c>
      <c r="BS10" s="10">
        <v>4917</v>
      </c>
      <c r="BT10" s="10">
        <v>45585</v>
      </c>
      <c r="BU10" s="10">
        <v>32187</v>
      </c>
      <c r="BV10" s="10">
        <v>23305</v>
      </c>
      <c r="BW10" s="10">
        <f t="shared" si="0"/>
        <v>50502</v>
      </c>
      <c r="BX10" s="10">
        <f t="shared" si="1"/>
        <v>55492</v>
      </c>
      <c r="BY10" s="14">
        <v>106443</v>
      </c>
      <c r="BZ10" s="14">
        <v>0</v>
      </c>
      <c r="CA10" s="14">
        <v>692</v>
      </c>
      <c r="CB10" s="14">
        <v>105751</v>
      </c>
      <c r="CC10" s="14">
        <v>68387</v>
      </c>
      <c r="CD10" s="14">
        <v>32961</v>
      </c>
      <c r="CE10" s="14">
        <v>4481</v>
      </c>
      <c r="CF10" s="14">
        <v>5</v>
      </c>
      <c r="CG10" s="14">
        <v>96</v>
      </c>
      <c r="CH10" s="14">
        <v>59</v>
      </c>
      <c r="CI10" s="14">
        <v>454</v>
      </c>
      <c r="CJ10" s="14">
        <f t="shared" si="2"/>
        <v>614</v>
      </c>
      <c r="CK10" s="14">
        <v>52032</v>
      </c>
      <c r="CL10" s="14">
        <v>54411</v>
      </c>
      <c r="CM10" s="14">
        <v>46703</v>
      </c>
      <c r="CN10" s="11">
        <f t="shared" si="3"/>
        <v>0.43876065124057007</v>
      </c>
      <c r="CO10" s="14">
        <v>59740</v>
      </c>
      <c r="CP10" s="11">
        <f t="shared" si="4"/>
        <v>0.56123934875942993</v>
      </c>
      <c r="CQ10" s="29">
        <v>4177</v>
      </c>
      <c r="CR10" s="29">
        <v>44969</v>
      </c>
      <c r="CS10" s="29">
        <v>32375</v>
      </c>
      <c r="CT10" s="29">
        <v>24157</v>
      </c>
      <c r="CU10" s="45">
        <v>14997</v>
      </c>
      <c r="CV10" s="45">
        <v>5097</v>
      </c>
      <c r="CW10" s="45">
        <v>7163</v>
      </c>
      <c r="CX10" s="45">
        <v>1759</v>
      </c>
      <c r="CY10" s="45">
        <v>978</v>
      </c>
      <c r="CZ10" s="45">
        <v>110</v>
      </c>
      <c r="DA10" s="45">
        <v>110</v>
      </c>
      <c r="DB10" s="45">
        <v>109</v>
      </c>
      <c r="DC10" s="45">
        <v>104</v>
      </c>
    </row>
    <row r="11" spans="1:107" x14ac:dyDescent="0.35">
      <c r="A11" s="1" t="s">
        <v>37</v>
      </c>
      <c r="B11" s="5" t="s">
        <v>0</v>
      </c>
      <c r="C11" s="3" t="s">
        <v>83</v>
      </c>
      <c r="D11" s="4" t="s">
        <v>84</v>
      </c>
      <c r="E11" s="5">
        <v>3</v>
      </c>
      <c r="F11" s="5">
        <v>52</v>
      </c>
      <c r="G11" s="2">
        <v>0.76611320754716983</v>
      </c>
      <c r="H11" s="2" t="s">
        <v>1276</v>
      </c>
      <c r="I11" s="9" t="s">
        <v>13</v>
      </c>
      <c r="J1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DR. AHMAD FAKHRUDDIN </v>
      </c>
      <c r="K11" s="8">
        <v>13879</v>
      </c>
      <c r="L11" s="8" t="s">
        <v>8</v>
      </c>
      <c r="M11" s="7" t="s">
        <v>86</v>
      </c>
      <c r="N11" s="8">
        <v>28237</v>
      </c>
      <c r="O11" s="8" t="s">
        <v>23</v>
      </c>
      <c r="P11" s="7" t="s">
        <v>87</v>
      </c>
      <c r="Q11" s="8">
        <v>56298</v>
      </c>
      <c r="R11" s="8" t="s">
        <v>12</v>
      </c>
      <c r="S11" s="7" t="s">
        <v>85</v>
      </c>
      <c r="T11" s="10">
        <v>28061</v>
      </c>
      <c r="U11" s="10">
        <v>0</v>
      </c>
      <c r="V11" s="10">
        <v>0</v>
      </c>
      <c r="W11" s="10">
        <v>1</v>
      </c>
      <c r="X11" s="10">
        <v>48736</v>
      </c>
      <c r="Y11" s="12" t="s">
        <v>26</v>
      </c>
      <c r="Z11" s="12" t="s">
        <v>1277</v>
      </c>
      <c r="AA11" s="13" t="s">
        <v>88</v>
      </c>
      <c r="AB11" s="14">
        <v>13481</v>
      </c>
      <c r="AC11" s="15" t="s">
        <v>89</v>
      </c>
      <c r="AD11" s="16">
        <v>35041</v>
      </c>
      <c r="AE11" s="14">
        <v>19400</v>
      </c>
      <c r="AF11" s="14">
        <v>23143</v>
      </c>
      <c r="AG11" s="14">
        <v>36624</v>
      </c>
      <c r="AH11" s="14" t="s">
        <v>17</v>
      </c>
      <c r="AI11" s="15" t="s">
        <v>29</v>
      </c>
      <c r="AJ11" s="14">
        <v>0</v>
      </c>
      <c r="AK11" s="14">
        <v>0</v>
      </c>
      <c r="AL11" s="14">
        <v>0</v>
      </c>
      <c r="AM11" s="51">
        <v>97753</v>
      </c>
      <c r="AN11" s="51">
        <v>76515</v>
      </c>
      <c r="AO11" s="51">
        <v>19799</v>
      </c>
      <c r="AP11" s="51">
        <v>1113</v>
      </c>
      <c r="AQ11" s="51">
        <v>272</v>
      </c>
      <c r="AR11" s="51">
        <v>36</v>
      </c>
      <c r="AS11" s="51">
        <v>18</v>
      </c>
      <c r="AT11" s="51">
        <v>0</v>
      </c>
      <c r="AU11" s="51">
        <v>47460</v>
      </c>
      <c r="AV11" s="51">
        <v>50293</v>
      </c>
      <c r="AW11" s="51">
        <v>38536</v>
      </c>
      <c r="AX11" s="51">
        <v>59217</v>
      </c>
      <c r="AY11" s="14">
        <v>28664.666666666668</v>
      </c>
      <c r="AZ11" s="14">
        <v>132500</v>
      </c>
      <c r="BA11" s="14">
        <v>10</v>
      </c>
      <c r="BB11" s="14">
        <v>77</v>
      </c>
      <c r="BC11" s="14">
        <v>132413</v>
      </c>
      <c r="BD11" s="14">
        <v>100761</v>
      </c>
      <c r="BE11" s="11">
        <f>Table14[[#This Row],[Melayu_Voters_GE15]]/Table14[[#This Row],[All_Voters_GE15]]</f>
        <v>0.76046037735849059</v>
      </c>
      <c r="BF11" s="14">
        <v>29499</v>
      </c>
      <c r="BG11" s="11">
        <f>Table14[[#This Row],[Chinese_Voters_GE15]]/Table14[[#This Row],[All_Voters_GE15]]</f>
        <v>0.22263396226415094</v>
      </c>
      <c r="BH11" s="14">
        <v>1602</v>
      </c>
      <c r="BI11" s="11">
        <f>Table14[[#This Row],[India_Voters_GE15]]/Table14[[#This Row],[All_Voters_GE15]]</f>
        <v>1.209056603773585E-2</v>
      </c>
      <c r="BJ11" s="14">
        <v>0</v>
      </c>
      <c r="BK11" s="14">
        <v>51</v>
      </c>
      <c r="BL11" s="14">
        <v>49</v>
      </c>
      <c r="BM11" s="14">
        <v>538</v>
      </c>
      <c r="BN11" s="14">
        <f>Table14[[#This Row],[Lain_Voters_GE15]]+Table14[[#This Row],[Swak_Voters_GE15]]+Table14[[#This Row],[Sabah_Voters_GE15]]+Table14[[#This Row],[OA_Voters_GE15]]</f>
        <v>638</v>
      </c>
      <c r="BO11" s="11">
        <f>Table14[[#This Row],[Base_Stock_GE15]]/Table14[[#This Row],[All_Voters_GE15]]</f>
        <v>0.36781886792452828</v>
      </c>
      <c r="BP11" s="14">
        <v>16427</v>
      </c>
      <c r="BQ11" s="10">
        <v>40930</v>
      </c>
      <c r="BR11" s="44">
        <v>22972</v>
      </c>
      <c r="BS11" s="10">
        <v>7263</v>
      </c>
      <c r="BT11" s="10">
        <v>60774</v>
      </c>
      <c r="BU11" s="10">
        <v>40747</v>
      </c>
      <c r="BV11" s="10">
        <v>23716</v>
      </c>
      <c r="BW11" s="10">
        <f t="shared" si="0"/>
        <v>68037</v>
      </c>
      <c r="BX11" s="10">
        <f t="shared" si="1"/>
        <v>64463</v>
      </c>
      <c r="BY11" s="14">
        <v>135367</v>
      </c>
      <c r="BZ11" s="14">
        <v>0</v>
      </c>
      <c r="CA11" s="14">
        <v>74</v>
      </c>
      <c r="CB11" s="14">
        <v>135293</v>
      </c>
      <c r="CC11" s="14">
        <v>103445</v>
      </c>
      <c r="CD11" s="14">
        <v>29640</v>
      </c>
      <c r="CE11" s="14">
        <v>1573</v>
      </c>
      <c r="CF11" s="14">
        <v>0</v>
      </c>
      <c r="CG11" s="14">
        <v>64</v>
      </c>
      <c r="CH11" s="14">
        <v>53</v>
      </c>
      <c r="CI11" s="14">
        <v>592</v>
      </c>
      <c r="CJ11" s="14">
        <f t="shared" si="2"/>
        <v>709</v>
      </c>
      <c r="CK11" s="14">
        <v>66331</v>
      </c>
      <c r="CL11" s="14">
        <v>69036</v>
      </c>
      <c r="CM11" s="14">
        <v>64513</v>
      </c>
      <c r="CN11" s="11">
        <f t="shared" si="3"/>
        <v>0.47657848663263574</v>
      </c>
      <c r="CO11" s="14">
        <v>70854</v>
      </c>
      <c r="CP11" s="11">
        <f t="shared" si="4"/>
        <v>0.52342151336736431</v>
      </c>
      <c r="CQ11" s="29">
        <v>6176</v>
      </c>
      <c r="CR11" s="29">
        <v>60512</v>
      </c>
      <c r="CS11" s="29">
        <v>41216</v>
      </c>
      <c r="CT11" s="29">
        <v>24698</v>
      </c>
      <c r="CU11" s="45">
        <v>20521</v>
      </c>
      <c r="CV11" s="45">
        <v>8204</v>
      </c>
      <c r="CW11" s="45">
        <v>9780</v>
      </c>
      <c r="CX11" s="45">
        <v>1738</v>
      </c>
      <c r="CY11" s="45">
        <v>799</v>
      </c>
      <c r="CZ11" s="45">
        <v>165</v>
      </c>
      <c r="DA11" s="45">
        <v>164</v>
      </c>
      <c r="DB11" s="45">
        <v>159</v>
      </c>
      <c r="DC11" s="45">
        <v>136</v>
      </c>
    </row>
    <row r="12" spans="1:107" x14ac:dyDescent="0.35">
      <c r="A12" s="1" t="s">
        <v>37</v>
      </c>
      <c r="B12" s="5" t="s">
        <v>0</v>
      </c>
      <c r="C12" s="3" t="s">
        <v>90</v>
      </c>
      <c r="D12" s="4" t="s">
        <v>91</v>
      </c>
      <c r="E12" s="5">
        <v>2</v>
      </c>
      <c r="F12" s="5">
        <v>44</v>
      </c>
      <c r="G12" s="2">
        <v>0.80786275608956393</v>
      </c>
      <c r="H12" s="2" t="s">
        <v>1276</v>
      </c>
      <c r="I12" s="9" t="s">
        <v>13</v>
      </c>
      <c r="J1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HAJI AWANG SOLAHUDIN </v>
      </c>
      <c r="K12" s="8">
        <v>17719</v>
      </c>
      <c r="L12" s="8" t="s">
        <v>8</v>
      </c>
      <c r="M12" s="7" t="s">
        <v>93</v>
      </c>
      <c r="N12" s="8">
        <v>8058</v>
      </c>
      <c r="O12" s="8" t="s">
        <v>23</v>
      </c>
      <c r="P12" s="7" t="s">
        <v>94</v>
      </c>
      <c r="Q12" s="8">
        <v>49008</v>
      </c>
      <c r="R12" s="8" t="s">
        <v>12</v>
      </c>
      <c r="S12" s="7" t="s">
        <v>92</v>
      </c>
      <c r="T12" s="10">
        <v>31289</v>
      </c>
      <c r="U12" s="10">
        <v>0</v>
      </c>
      <c r="V12" s="10">
        <v>0</v>
      </c>
      <c r="W12" s="10">
        <v>1</v>
      </c>
      <c r="X12" s="10">
        <v>28698</v>
      </c>
      <c r="Y12" s="12" t="s">
        <v>95</v>
      </c>
      <c r="Z12" s="12" t="s">
        <v>1277</v>
      </c>
      <c r="AA12" s="13" t="s">
        <v>96</v>
      </c>
      <c r="AB12" s="14">
        <v>5808</v>
      </c>
      <c r="AC12" s="15" t="s">
        <v>97</v>
      </c>
      <c r="AD12" s="16">
        <v>42784</v>
      </c>
      <c r="AE12" s="14">
        <v>20728</v>
      </c>
      <c r="AF12" s="14">
        <v>26536</v>
      </c>
      <c r="AG12" s="14">
        <v>14901</v>
      </c>
      <c r="AH12" s="14" t="s">
        <v>17</v>
      </c>
      <c r="AI12" s="15" t="s">
        <v>18</v>
      </c>
      <c r="AJ12" s="14">
        <v>0</v>
      </c>
      <c r="AK12" s="14">
        <v>0</v>
      </c>
      <c r="AL12" s="14">
        <v>1</v>
      </c>
      <c r="AM12" s="51">
        <v>74867</v>
      </c>
      <c r="AN12" s="51">
        <v>66450</v>
      </c>
      <c r="AO12" s="51">
        <v>3796</v>
      </c>
      <c r="AP12" s="51">
        <v>417</v>
      </c>
      <c r="AQ12" s="51">
        <v>4156</v>
      </c>
      <c r="AR12" s="51">
        <v>25</v>
      </c>
      <c r="AS12" s="51">
        <v>18</v>
      </c>
      <c r="AT12" s="51">
        <v>5</v>
      </c>
      <c r="AU12" s="51">
        <v>36067</v>
      </c>
      <c r="AV12" s="51">
        <v>38800</v>
      </c>
      <c r="AW12" s="51">
        <v>30044</v>
      </c>
      <c r="AX12" s="51">
        <v>44823</v>
      </c>
      <c r="AY12" s="14">
        <v>25377</v>
      </c>
      <c r="AZ12" s="14">
        <v>94547</v>
      </c>
      <c r="BA12" s="14">
        <v>3</v>
      </c>
      <c r="BB12" s="14">
        <v>173</v>
      </c>
      <c r="BC12" s="14">
        <v>94371</v>
      </c>
      <c r="BD12" s="14">
        <v>83742</v>
      </c>
      <c r="BE12" s="11">
        <f>Table14[[#This Row],[Melayu_Voters_GE15]]/Table14[[#This Row],[All_Voters_GE15]]</f>
        <v>0.88571821422149832</v>
      </c>
      <c r="BF12" s="14">
        <v>4479</v>
      </c>
      <c r="BG12" s="11">
        <f>Table14[[#This Row],[Chinese_Voters_GE15]]/Table14[[#This Row],[All_Voters_GE15]]</f>
        <v>4.7373264090875437E-2</v>
      </c>
      <c r="BH12" s="14">
        <v>478</v>
      </c>
      <c r="BI12" s="11">
        <f>Table14[[#This Row],[India_Voters_GE15]]/Table14[[#This Row],[All_Voters_GE15]]</f>
        <v>5.0556865897384371E-3</v>
      </c>
      <c r="BJ12" s="14">
        <v>4</v>
      </c>
      <c r="BK12" s="14">
        <v>36</v>
      </c>
      <c r="BL12" s="14">
        <v>24</v>
      </c>
      <c r="BM12" s="14">
        <v>5784</v>
      </c>
      <c r="BN12" s="14">
        <f>Table14[[#This Row],[Lain_Voters_GE15]]+Table14[[#This Row],[Swak_Voters_GE15]]+Table14[[#This Row],[Sabah_Voters_GE15]]+Table14[[#This Row],[OA_Voters_GE15]]</f>
        <v>5848</v>
      </c>
      <c r="BO12" s="11">
        <f>Table14[[#This Row],[Base_Stock_GE15]]/Table14[[#This Row],[All_Voters_GE15]]</f>
        <v>0.30353157688768551</v>
      </c>
      <c r="BP12" s="14">
        <v>23218</v>
      </c>
      <c r="BQ12" s="10">
        <v>24370</v>
      </c>
      <c r="BR12" s="44">
        <v>16078</v>
      </c>
      <c r="BS12" s="10">
        <v>5225</v>
      </c>
      <c r="BT12" s="10">
        <v>42402</v>
      </c>
      <c r="BU12" s="10">
        <v>30255</v>
      </c>
      <c r="BV12" s="10">
        <v>16665</v>
      </c>
      <c r="BW12" s="10">
        <f t="shared" si="0"/>
        <v>47627</v>
      </c>
      <c r="BX12" s="10">
        <f t="shared" si="1"/>
        <v>46920</v>
      </c>
      <c r="BY12" s="14">
        <v>96805</v>
      </c>
      <c r="BZ12" s="14">
        <v>0</v>
      </c>
      <c r="CA12" s="14">
        <v>267</v>
      </c>
      <c r="CB12" s="14">
        <v>96538</v>
      </c>
      <c r="CC12" s="14">
        <v>85980</v>
      </c>
      <c r="CD12" s="14">
        <v>4325</v>
      </c>
      <c r="CE12" s="14">
        <v>459</v>
      </c>
      <c r="CF12" s="14">
        <v>4</v>
      </c>
      <c r="CG12" s="14">
        <v>41</v>
      </c>
      <c r="CH12" s="14">
        <v>31</v>
      </c>
      <c r="CI12" s="14">
        <v>5965</v>
      </c>
      <c r="CJ12" s="14">
        <f t="shared" si="2"/>
        <v>6041</v>
      </c>
      <c r="CK12" s="14">
        <v>47073</v>
      </c>
      <c r="CL12" s="14">
        <v>49732</v>
      </c>
      <c r="CM12" s="14">
        <v>45647</v>
      </c>
      <c r="CN12" s="11">
        <f t="shared" si="3"/>
        <v>0.47153556117969114</v>
      </c>
      <c r="CO12" s="14">
        <v>51158</v>
      </c>
      <c r="CP12" s="11">
        <f t="shared" si="4"/>
        <v>0.52846443882030891</v>
      </c>
      <c r="CQ12" s="29">
        <v>4365</v>
      </c>
      <c r="CR12" s="29">
        <v>42096</v>
      </c>
      <c r="CS12" s="29">
        <v>30740</v>
      </c>
      <c r="CT12" s="29">
        <v>17323</v>
      </c>
      <c r="CU12" s="45">
        <v>21356</v>
      </c>
      <c r="CV12" s="45">
        <v>7235</v>
      </c>
      <c r="CW12" s="45">
        <v>9548</v>
      </c>
      <c r="CX12" s="45">
        <v>2892</v>
      </c>
      <c r="CY12" s="45">
        <v>1681</v>
      </c>
      <c r="CZ12" s="45">
        <v>201</v>
      </c>
      <c r="DA12" s="45">
        <v>199</v>
      </c>
      <c r="DB12" s="45">
        <v>193</v>
      </c>
      <c r="DC12" s="45">
        <v>180</v>
      </c>
    </row>
    <row r="13" spans="1:107" x14ac:dyDescent="0.35">
      <c r="A13" s="1" t="s">
        <v>37</v>
      </c>
      <c r="B13" s="5" t="s">
        <v>0</v>
      </c>
      <c r="C13" s="3" t="s">
        <v>98</v>
      </c>
      <c r="D13" s="4" t="s">
        <v>99</v>
      </c>
      <c r="E13" s="5">
        <v>3</v>
      </c>
      <c r="F13" s="5">
        <v>53</v>
      </c>
      <c r="G13" s="2">
        <v>0.79326863553680438</v>
      </c>
      <c r="H13" s="2" t="s">
        <v>1276</v>
      </c>
      <c r="I13" s="9" t="s">
        <v>13</v>
      </c>
      <c r="J1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SABRI BIN AZIT </v>
      </c>
      <c r="K13" s="8">
        <v>16269</v>
      </c>
      <c r="L13" s="8" t="s">
        <v>8</v>
      </c>
      <c r="M13" s="7" t="s">
        <v>101</v>
      </c>
      <c r="N13" s="8">
        <v>15590</v>
      </c>
      <c r="O13" s="8" t="s">
        <v>102</v>
      </c>
      <c r="P13" s="7" t="s">
        <v>103</v>
      </c>
      <c r="Q13" s="8">
        <v>49461</v>
      </c>
      <c r="R13" s="8" t="s">
        <v>12</v>
      </c>
      <c r="S13" s="7" t="s">
        <v>100</v>
      </c>
      <c r="T13" s="10">
        <v>33192</v>
      </c>
      <c r="U13" s="10">
        <v>0</v>
      </c>
      <c r="V13" s="10">
        <v>0</v>
      </c>
      <c r="W13" s="10">
        <v>1</v>
      </c>
      <c r="X13" s="10">
        <v>40395</v>
      </c>
      <c r="Y13" s="12" t="s">
        <v>95</v>
      </c>
      <c r="Z13" s="12" t="s">
        <v>1277</v>
      </c>
      <c r="AA13" s="13" t="s">
        <v>104</v>
      </c>
      <c r="AB13" s="14">
        <v>539</v>
      </c>
      <c r="AC13" s="15" t="s">
        <v>105</v>
      </c>
      <c r="AD13" s="16">
        <v>39118</v>
      </c>
      <c r="AE13" s="14">
        <v>21773</v>
      </c>
      <c r="AF13" s="14">
        <v>22312</v>
      </c>
      <c r="AG13" s="14">
        <v>21651</v>
      </c>
      <c r="AH13" s="14" t="s">
        <v>17</v>
      </c>
      <c r="AI13" s="15" t="s">
        <v>18</v>
      </c>
      <c r="AJ13" s="14">
        <v>0</v>
      </c>
      <c r="AK13" s="14">
        <v>0</v>
      </c>
      <c r="AL13" s="14">
        <v>1</v>
      </c>
      <c r="AM13" s="51">
        <v>79976</v>
      </c>
      <c r="AN13" s="51">
        <v>64142</v>
      </c>
      <c r="AO13" s="51">
        <v>10851</v>
      </c>
      <c r="AP13" s="51">
        <v>4755</v>
      </c>
      <c r="AQ13" s="51">
        <v>181</v>
      </c>
      <c r="AR13" s="51">
        <v>23</v>
      </c>
      <c r="AS13" s="51">
        <v>23</v>
      </c>
      <c r="AT13" s="51">
        <v>1</v>
      </c>
      <c r="AU13" s="51">
        <v>38755</v>
      </c>
      <c r="AV13" s="51">
        <v>41221</v>
      </c>
      <c r="AW13" s="51">
        <v>30647</v>
      </c>
      <c r="AX13" s="51">
        <v>49329</v>
      </c>
      <c r="AY13" s="14">
        <v>26137.666666666668</v>
      </c>
      <c r="AZ13" s="14">
        <v>105001</v>
      </c>
      <c r="BA13" s="14">
        <v>8</v>
      </c>
      <c r="BB13" s="14">
        <v>273</v>
      </c>
      <c r="BC13" s="14">
        <v>104720</v>
      </c>
      <c r="BD13" s="14">
        <v>84657</v>
      </c>
      <c r="BE13" s="11">
        <f>Table14[[#This Row],[Melayu_Voters_GE15]]/Table14[[#This Row],[All_Voters_GE15]]</f>
        <v>0.80624946429081623</v>
      </c>
      <c r="BF13" s="14">
        <v>13600</v>
      </c>
      <c r="BG13" s="11">
        <f>Table14[[#This Row],[Chinese_Voters_GE15]]/Table14[[#This Row],[All_Voters_GE15]]</f>
        <v>0.1295225759754669</v>
      </c>
      <c r="BH13" s="14">
        <v>6343</v>
      </c>
      <c r="BI13" s="11">
        <f>Table14[[#This Row],[India_Voters_GE15]]/Table14[[#This Row],[All_Voters_GE15]]</f>
        <v>6.0408948486204893E-2</v>
      </c>
      <c r="BJ13" s="14">
        <v>6</v>
      </c>
      <c r="BK13" s="14">
        <v>64</v>
      </c>
      <c r="BL13" s="14">
        <v>34</v>
      </c>
      <c r="BM13" s="14">
        <v>297</v>
      </c>
      <c r="BN13" s="14">
        <f>Table14[[#This Row],[Lain_Voters_GE15]]+Table14[[#This Row],[Swak_Voters_GE15]]+Table14[[#This Row],[Sabah_Voters_GE15]]+Table14[[#This Row],[OA_Voters_GE15]]</f>
        <v>401</v>
      </c>
      <c r="BO13" s="11">
        <f>Table14[[#This Row],[Base_Stock_GE15]]/Table14[[#This Row],[All_Voters_GE15]]</f>
        <v>0.38471062180360188</v>
      </c>
      <c r="BP13" s="14">
        <v>32135</v>
      </c>
      <c r="BQ13" s="10">
        <v>30099</v>
      </c>
      <c r="BR13" s="44">
        <v>18739</v>
      </c>
      <c r="BS13" s="10">
        <v>6037</v>
      </c>
      <c r="BT13" s="10">
        <v>46688</v>
      </c>
      <c r="BU13" s="10">
        <v>33717</v>
      </c>
      <c r="BV13" s="10">
        <v>18559</v>
      </c>
      <c r="BW13" s="10">
        <f t="shared" si="0"/>
        <v>52725</v>
      </c>
      <c r="BX13" s="10">
        <f t="shared" si="1"/>
        <v>52276</v>
      </c>
      <c r="BY13" s="14">
        <v>107342</v>
      </c>
      <c r="BZ13" s="14">
        <v>0</v>
      </c>
      <c r="CA13" s="14">
        <v>321</v>
      </c>
      <c r="CB13" s="14">
        <v>107021</v>
      </c>
      <c r="CC13" s="14">
        <v>87380</v>
      </c>
      <c r="CD13" s="14">
        <v>13213</v>
      </c>
      <c r="CE13" s="14">
        <v>6305</v>
      </c>
      <c r="CF13" s="14">
        <v>5</v>
      </c>
      <c r="CG13" s="14">
        <v>71</v>
      </c>
      <c r="CH13" s="14">
        <v>42</v>
      </c>
      <c r="CI13" s="14">
        <v>326</v>
      </c>
      <c r="CJ13" s="14">
        <f t="shared" si="2"/>
        <v>444</v>
      </c>
      <c r="CK13" s="14">
        <v>52838</v>
      </c>
      <c r="CL13" s="14">
        <v>54504</v>
      </c>
      <c r="CM13" s="14">
        <v>50826</v>
      </c>
      <c r="CN13" s="11">
        <f t="shared" si="3"/>
        <v>0.47349592890015091</v>
      </c>
      <c r="CO13" s="14">
        <v>56516</v>
      </c>
      <c r="CP13" s="11">
        <f t="shared" si="4"/>
        <v>0.52650407109984909</v>
      </c>
      <c r="CQ13" s="29">
        <v>5094</v>
      </c>
      <c r="CR13" s="29">
        <v>46419</v>
      </c>
      <c r="CS13" s="29">
        <v>34254</v>
      </c>
      <c r="CT13" s="29">
        <v>19233</v>
      </c>
      <c r="CU13" s="45">
        <v>16771</v>
      </c>
      <c r="CV13" s="45">
        <v>6177</v>
      </c>
      <c r="CW13" s="45">
        <v>8100</v>
      </c>
      <c r="CX13" s="45">
        <v>1822</v>
      </c>
      <c r="CY13" s="45">
        <v>672</v>
      </c>
      <c r="CZ13" s="45">
        <v>161</v>
      </c>
      <c r="DA13" s="45">
        <v>161</v>
      </c>
      <c r="DB13" s="45">
        <v>153</v>
      </c>
      <c r="DC13" s="45">
        <v>120</v>
      </c>
    </row>
    <row r="14" spans="1:107" x14ac:dyDescent="0.35">
      <c r="A14" s="1" t="s">
        <v>37</v>
      </c>
      <c r="B14" s="5" t="s">
        <v>0</v>
      </c>
      <c r="C14" s="3" t="s">
        <v>106</v>
      </c>
      <c r="D14" s="4" t="s">
        <v>107</v>
      </c>
      <c r="E14" s="5">
        <v>2</v>
      </c>
      <c r="F14" s="5">
        <v>30</v>
      </c>
      <c r="G14" s="2">
        <v>0.81834743211988725</v>
      </c>
      <c r="H14" s="2" t="s">
        <v>1276</v>
      </c>
      <c r="I14" s="9" t="s">
        <v>13</v>
      </c>
      <c r="J1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AHMAD TARMIZI SULAIMAN </v>
      </c>
      <c r="K14" s="8">
        <v>12819</v>
      </c>
      <c r="L14" s="8" t="s">
        <v>8</v>
      </c>
      <c r="M14" s="7" t="s">
        <v>109</v>
      </c>
      <c r="N14" s="8">
        <v>3736</v>
      </c>
      <c r="O14" s="8" t="s">
        <v>10</v>
      </c>
      <c r="P14" s="7" t="s">
        <v>110</v>
      </c>
      <c r="Q14" s="8">
        <v>34606</v>
      </c>
      <c r="R14" s="8" t="s">
        <v>12</v>
      </c>
      <c r="S14" s="7" t="s">
        <v>108</v>
      </c>
      <c r="T14" s="10">
        <v>21787</v>
      </c>
      <c r="U14" s="10">
        <v>0</v>
      </c>
      <c r="V14" s="10">
        <v>0</v>
      </c>
      <c r="W14" s="10">
        <v>1</v>
      </c>
      <c r="X14" s="10">
        <v>23814</v>
      </c>
      <c r="Y14" s="12" t="s">
        <v>95</v>
      </c>
      <c r="Z14" s="12" t="s">
        <v>1277</v>
      </c>
      <c r="AA14" s="13" t="s">
        <v>111</v>
      </c>
      <c r="AB14" s="14">
        <v>5218</v>
      </c>
      <c r="AC14" s="15" t="s">
        <v>112</v>
      </c>
      <c r="AD14" s="16">
        <v>27101</v>
      </c>
      <c r="AE14" s="14">
        <v>14870</v>
      </c>
      <c r="AF14" s="14">
        <v>20088</v>
      </c>
      <c r="AG14" s="14">
        <v>6970</v>
      </c>
      <c r="AH14" s="14" t="s">
        <v>17</v>
      </c>
      <c r="AI14" s="15" t="s">
        <v>10</v>
      </c>
      <c r="AJ14" s="14">
        <v>0</v>
      </c>
      <c r="AK14" s="14">
        <v>0</v>
      </c>
      <c r="AL14" s="14">
        <v>1</v>
      </c>
      <c r="AM14" s="51">
        <v>50385</v>
      </c>
      <c r="AN14" s="51">
        <v>46849</v>
      </c>
      <c r="AO14" s="51">
        <v>734</v>
      </c>
      <c r="AP14" s="51">
        <v>99</v>
      </c>
      <c r="AQ14" s="51">
        <v>2660</v>
      </c>
      <c r="AR14" s="51">
        <v>24</v>
      </c>
      <c r="AS14" s="51">
        <v>14</v>
      </c>
      <c r="AT14" s="51">
        <v>5</v>
      </c>
      <c r="AU14" s="51">
        <v>24581</v>
      </c>
      <c r="AV14" s="51">
        <v>25804</v>
      </c>
      <c r="AW14" s="51">
        <v>21920</v>
      </c>
      <c r="AX14" s="51">
        <v>28465</v>
      </c>
      <c r="AY14" s="14">
        <v>17779</v>
      </c>
      <c r="AZ14" s="14">
        <v>63126</v>
      </c>
      <c r="BA14" s="14">
        <v>2</v>
      </c>
      <c r="BB14" s="14">
        <v>164</v>
      </c>
      <c r="BC14" s="14">
        <v>62960</v>
      </c>
      <c r="BD14" s="14">
        <v>58464</v>
      </c>
      <c r="BE14" s="11">
        <f>Table14[[#This Row],[Melayu_Voters_GE15]]/Table14[[#This Row],[All_Voters_GE15]]</f>
        <v>0.92614770459081841</v>
      </c>
      <c r="BF14" s="14">
        <v>914</v>
      </c>
      <c r="BG14" s="11">
        <f>Table14[[#This Row],[Chinese_Voters_GE15]]/Table14[[#This Row],[All_Voters_GE15]]</f>
        <v>1.4478978550834838E-2</v>
      </c>
      <c r="BH14" s="14">
        <v>103</v>
      </c>
      <c r="BI14" s="11">
        <f>Table14[[#This Row],[India_Voters_GE15]]/Table14[[#This Row],[All_Voters_GE15]]</f>
        <v>1.6316573202800747E-3</v>
      </c>
      <c r="BJ14" s="14">
        <v>5</v>
      </c>
      <c r="BK14" s="14">
        <v>60</v>
      </c>
      <c r="BL14" s="14">
        <v>23</v>
      </c>
      <c r="BM14" s="14">
        <v>3557</v>
      </c>
      <c r="BN14" s="14">
        <f>Table14[[#This Row],[Lain_Voters_GE15]]+Table14[[#This Row],[Swak_Voters_GE15]]+Table14[[#This Row],[Sabah_Voters_GE15]]+Table14[[#This Row],[OA_Voters_GE15]]</f>
        <v>3645</v>
      </c>
      <c r="BO14" s="11">
        <f>Table14[[#This Row],[Base_Stock_GE15]]/Table14[[#This Row],[All_Voters_GE15]]</f>
        <v>0.3772455089820359</v>
      </c>
      <c r="BP14" s="14">
        <v>11880</v>
      </c>
      <c r="BQ14" s="10">
        <v>15607</v>
      </c>
      <c r="BR14" s="44">
        <v>11011</v>
      </c>
      <c r="BS14" s="10">
        <v>3561</v>
      </c>
      <c r="BT14" s="10">
        <v>29407</v>
      </c>
      <c r="BU14" s="10">
        <v>20000</v>
      </c>
      <c r="BV14" s="10">
        <v>10158</v>
      </c>
      <c r="BW14" s="10">
        <f t="shared" si="0"/>
        <v>32968</v>
      </c>
      <c r="BX14" s="10">
        <f t="shared" si="1"/>
        <v>30158</v>
      </c>
      <c r="BY14" s="14">
        <v>64527</v>
      </c>
      <c r="BZ14" s="14">
        <v>0</v>
      </c>
      <c r="CA14" s="14">
        <v>198</v>
      </c>
      <c r="CB14" s="14">
        <v>64329</v>
      </c>
      <c r="CC14" s="14">
        <v>59804</v>
      </c>
      <c r="CD14" s="14">
        <v>881</v>
      </c>
      <c r="CE14" s="14">
        <v>107</v>
      </c>
      <c r="CF14" s="14">
        <v>6</v>
      </c>
      <c r="CG14" s="14">
        <v>61</v>
      </c>
      <c r="CH14" s="14">
        <v>24</v>
      </c>
      <c r="CI14" s="14">
        <v>3644</v>
      </c>
      <c r="CJ14" s="14">
        <f t="shared" si="2"/>
        <v>3735</v>
      </c>
      <c r="CK14" s="14">
        <v>31873</v>
      </c>
      <c r="CL14" s="14">
        <v>32654</v>
      </c>
      <c r="CM14" s="14">
        <v>31393</v>
      </c>
      <c r="CN14" s="11">
        <f t="shared" si="3"/>
        <v>0.48650952314535001</v>
      </c>
      <c r="CO14" s="14">
        <v>33134</v>
      </c>
      <c r="CP14" s="11">
        <f t="shared" si="4"/>
        <v>0.51349047685464999</v>
      </c>
      <c r="CQ14" s="29">
        <v>2948</v>
      </c>
      <c r="CR14" s="29">
        <v>29212</v>
      </c>
      <c r="CS14" s="29">
        <v>20405</v>
      </c>
      <c r="CT14" s="29">
        <v>10501</v>
      </c>
      <c r="CU14" s="45">
        <v>16896</v>
      </c>
      <c r="CV14" s="45">
        <v>6316</v>
      </c>
      <c r="CW14" s="45">
        <v>7573</v>
      </c>
      <c r="CX14" s="45">
        <v>1974</v>
      </c>
      <c r="CY14" s="45">
        <v>1033</v>
      </c>
      <c r="CZ14" s="45">
        <v>140</v>
      </c>
      <c r="DA14" s="45">
        <v>140</v>
      </c>
      <c r="DB14" s="45">
        <v>135</v>
      </c>
      <c r="DC14" s="45">
        <v>122</v>
      </c>
    </row>
    <row r="15" spans="1:107" x14ac:dyDescent="0.35">
      <c r="A15" s="1" t="s">
        <v>37</v>
      </c>
      <c r="B15" s="5" t="s">
        <v>0</v>
      </c>
      <c r="C15" s="3" t="s">
        <v>113</v>
      </c>
      <c r="D15" s="4" t="s">
        <v>114</v>
      </c>
      <c r="E15" s="5">
        <v>2</v>
      </c>
      <c r="F15" s="5">
        <v>40</v>
      </c>
      <c r="G15" s="2">
        <v>0.78356890459363959</v>
      </c>
      <c r="H15" s="2" t="s">
        <v>1276</v>
      </c>
      <c r="I15" s="9" t="s">
        <v>13</v>
      </c>
      <c r="J1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MOHD NAZRI </v>
      </c>
      <c r="K15" s="8">
        <v>16691</v>
      </c>
      <c r="L15" s="8" t="s">
        <v>8</v>
      </c>
      <c r="M15" s="7" t="s">
        <v>116</v>
      </c>
      <c r="N15" s="8">
        <v>31554</v>
      </c>
      <c r="O15" s="8" t="s">
        <v>23</v>
      </c>
      <c r="P15" s="7" t="s">
        <v>117</v>
      </c>
      <c r="Q15" s="8">
        <v>52573</v>
      </c>
      <c r="R15" s="8" t="s">
        <v>25</v>
      </c>
      <c r="S15" s="7" t="s">
        <v>115</v>
      </c>
      <c r="T15" s="10">
        <v>21019</v>
      </c>
      <c r="U15" s="10">
        <v>0</v>
      </c>
      <c r="V15" s="10">
        <v>0</v>
      </c>
      <c r="W15" s="10">
        <v>1</v>
      </c>
      <c r="X15" s="10">
        <v>40465</v>
      </c>
      <c r="Y15" s="12" t="s">
        <v>26</v>
      </c>
      <c r="Z15" s="12" t="s">
        <v>1277</v>
      </c>
      <c r="AA15" s="13" t="s">
        <v>118</v>
      </c>
      <c r="AB15" s="14">
        <v>10072</v>
      </c>
      <c r="AC15" s="15" t="s">
        <v>52</v>
      </c>
      <c r="AD15" s="16">
        <v>46538</v>
      </c>
      <c r="AE15" s="14">
        <v>20830</v>
      </c>
      <c r="AF15" s="14">
        <v>19618</v>
      </c>
      <c r="AG15" s="14">
        <v>30902</v>
      </c>
      <c r="AH15" s="14" t="s">
        <v>17</v>
      </c>
      <c r="AI15" s="15" t="s">
        <v>29</v>
      </c>
      <c r="AJ15" s="14">
        <v>0</v>
      </c>
      <c r="AK15" s="14">
        <v>0</v>
      </c>
      <c r="AL15" s="14">
        <v>0</v>
      </c>
      <c r="AM15" s="51">
        <v>87782</v>
      </c>
      <c r="AN15" s="51">
        <v>60191</v>
      </c>
      <c r="AO15" s="51">
        <v>13224</v>
      </c>
      <c r="AP15" s="51">
        <v>13492</v>
      </c>
      <c r="AQ15" s="51">
        <v>374</v>
      </c>
      <c r="AR15" s="51">
        <v>160</v>
      </c>
      <c r="AS15" s="51">
        <v>332</v>
      </c>
      <c r="AT15" s="51">
        <v>9</v>
      </c>
      <c r="AU15" s="51">
        <v>43162</v>
      </c>
      <c r="AV15" s="51">
        <v>44620</v>
      </c>
      <c r="AW15" s="51">
        <v>38074</v>
      </c>
      <c r="AX15" s="51">
        <v>49708</v>
      </c>
      <c r="AY15" s="14">
        <v>27270.333333333332</v>
      </c>
      <c r="AZ15" s="14">
        <v>132444</v>
      </c>
      <c r="BA15" s="14">
        <v>16</v>
      </c>
      <c r="BB15" s="14">
        <v>5056</v>
      </c>
      <c r="BC15" s="14">
        <v>127372</v>
      </c>
      <c r="BD15" s="14">
        <v>91911</v>
      </c>
      <c r="BE15" s="11">
        <f>Table14[[#This Row],[Melayu_Voters_GE15]]/Table14[[#This Row],[All_Voters_GE15]]</f>
        <v>0.69396122134638039</v>
      </c>
      <c r="BF15" s="14">
        <v>20185</v>
      </c>
      <c r="BG15" s="11">
        <f>Table14[[#This Row],[Chinese_Voters_GE15]]/Table14[[#This Row],[All_Voters_GE15]]</f>
        <v>0.15240403491286883</v>
      </c>
      <c r="BH15" s="14">
        <v>19044</v>
      </c>
      <c r="BI15" s="11">
        <f>Table14[[#This Row],[India_Voters_GE15]]/Table14[[#This Row],[All_Voters_GE15]]</f>
        <v>0.14378907311769504</v>
      </c>
      <c r="BJ15" s="14">
        <v>8</v>
      </c>
      <c r="BK15" s="14">
        <v>279</v>
      </c>
      <c r="BL15" s="14">
        <v>356</v>
      </c>
      <c r="BM15" s="14">
        <v>661</v>
      </c>
      <c r="BN15" s="14">
        <f>Table14[[#This Row],[Lain_Voters_GE15]]+Table14[[#This Row],[Swak_Voters_GE15]]+Table14[[#This Row],[Sabah_Voters_GE15]]+Table14[[#This Row],[OA_Voters_GE15]]</f>
        <v>1304</v>
      </c>
      <c r="BO15" s="11">
        <f>Table14[[#This Row],[Base_Stock_GE15]]/Table14[[#This Row],[All_Voters_GE15]]</f>
        <v>0.30552535411192655</v>
      </c>
      <c r="BP15" s="14">
        <v>30703</v>
      </c>
      <c r="BQ15" s="10">
        <v>48918</v>
      </c>
      <c r="BR15" s="44">
        <v>28271</v>
      </c>
      <c r="BS15" s="10">
        <v>9184</v>
      </c>
      <c r="BT15" s="10">
        <v>66423</v>
      </c>
      <c r="BU15" s="10">
        <v>38216</v>
      </c>
      <c r="BV15" s="10">
        <v>18621</v>
      </c>
      <c r="BW15" s="10">
        <f t="shared" si="0"/>
        <v>75607</v>
      </c>
      <c r="BX15" s="10">
        <f t="shared" si="1"/>
        <v>56837</v>
      </c>
      <c r="BY15" s="14">
        <v>139448</v>
      </c>
      <c r="BZ15" s="14">
        <v>0</v>
      </c>
      <c r="CA15" s="14">
        <v>4279</v>
      </c>
      <c r="CB15" s="14">
        <v>135169</v>
      </c>
      <c r="CC15" s="14">
        <v>98244</v>
      </c>
      <c r="CD15" s="14">
        <v>20509</v>
      </c>
      <c r="CE15" s="14">
        <v>19268</v>
      </c>
      <c r="CF15" s="14">
        <v>11</v>
      </c>
      <c r="CG15" s="14">
        <v>362</v>
      </c>
      <c r="CH15" s="14">
        <v>379</v>
      </c>
      <c r="CI15" s="14">
        <v>675</v>
      </c>
      <c r="CJ15" s="14">
        <f t="shared" si="2"/>
        <v>1427</v>
      </c>
      <c r="CK15" s="14">
        <v>69042</v>
      </c>
      <c r="CL15" s="14">
        <v>70406</v>
      </c>
      <c r="CM15" s="14">
        <v>74584</v>
      </c>
      <c r="CN15" s="11">
        <f t="shared" si="3"/>
        <v>0.53485170099248469</v>
      </c>
      <c r="CO15" s="14">
        <v>64864</v>
      </c>
      <c r="CP15" s="11">
        <f t="shared" si="4"/>
        <v>0.46514829900751536</v>
      </c>
      <c r="CQ15" s="29">
        <v>7771</v>
      </c>
      <c r="CR15" s="29">
        <v>66890</v>
      </c>
      <c r="CS15" s="29">
        <v>39250</v>
      </c>
      <c r="CT15" s="29">
        <v>19728</v>
      </c>
      <c r="CU15" s="45">
        <v>16144</v>
      </c>
      <c r="CV15" s="45">
        <v>6039</v>
      </c>
      <c r="CW15" s="45">
        <v>7553</v>
      </c>
      <c r="CX15" s="45">
        <v>1685</v>
      </c>
      <c r="CY15" s="45">
        <v>867</v>
      </c>
      <c r="CZ15" s="45">
        <v>114</v>
      </c>
      <c r="DA15" s="45">
        <v>114</v>
      </c>
      <c r="DB15" s="45">
        <v>113</v>
      </c>
      <c r="DC15" s="45">
        <v>101</v>
      </c>
    </row>
    <row r="16" spans="1:107" x14ac:dyDescent="0.35">
      <c r="A16" s="1" t="s">
        <v>37</v>
      </c>
      <c r="B16" s="5" t="s">
        <v>0</v>
      </c>
      <c r="C16" s="3" t="s">
        <v>119</v>
      </c>
      <c r="D16" s="4" t="s">
        <v>120</v>
      </c>
      <c r="E16" s="5">
        <v>3</v>
      </c>
      <c r="F16" s="5">
        <v>50</v>
      </c>
      <c r="G16" s="2">
        <v>0.77849769317784745</v>
      </c>
      <c r="H16" s="2" t="s">
        <v>1276</v>
      </c>
      <c r="I16" s="17" t="s">
        <v>121</v>
      </c>
      <c r="J1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DR. TAUFIQ BIN DATO' JOHARI </v>
      </c>
      <c r="K16" s="8">
        <v>27391</v>
      </c>
      <c r="L16" s="8" t="s">
        <v>8</v>
      </c>
      <c r="M16" s="7" t="s">
        <v>123</v>
      </c>
      <c r="N16" s="8">
        <v>50580</v>
      </c>
      <c r="O16" s="8" t="s">
        <v>23</v>
      </c>
      <c r="P16" s="7" t="s">
        <v>122</v>
      </c>
      <c r="Q16" s="8">
        <v>49465</v>
      </c>
      <c r="R16" s="8" t="s">
        <v>25</v>
      </c>
      <c r="S16" s="7" t="s">
        <v>124</v>
      </c>
      <c r="T16" s="10">
        <v>1115</v>
      </c>
      <c r="U16" s="10">
        <v>0</v>
      </c>
      <c r="V16" s="10">
        <v>1</v>
      </c>
      <c r="W16" s="10">
        <v>0</v>
      </c>
      <c r="X16" s="10">
        <v>44354</v>
      </c>
      <c r="Y16" s="12" t="s">
        <v>26</v>
      </c>
      <c r="Z16" s="12" t="s">
        <v>1277</v>
      </c>
      <c r="AA16" s="13" t="s">
        <v>125</v>
      </c>
      <c r="AB16" s="14">
        <v>21569</v>
      </c>
      <c r="AC16" s="15" t="s">
        <v>126</v>
      </c>
      <c r="AD16" s="16">
        <v>47707</v>
      </c>
      <c r="AE16" s="14">
        <v>23963</v>
      </c>
      <c r="AF16" s="14">
        <v>22760</v>
      </c>
      <c r="AG16" s="14">
        <v>45532</v>
      </c>
      <c r="AH16" s="14" t="s">
        <v>17</v>
      </c>
      <c r="AI16" s="15" t="s">
        <v>29</v>
      </c>
      <c r="AJ16" s="14">
        <v>0</v>
      </c>
      <c r="AK16" s="14">
        <v>0</v>
      </c>
      <c r="AL16" s="14">
        <v>0</v>
      </c>
      <c r="AM16" s="51">
        <v>112577</v>
      </c>
      <c r="AN16" s="51">
        <v>68351</v>
      </c>
      <c r="AO16" s="51">
        <v>30202</v>
      </c>
      <c r="AP16" s="51">
        <v>13483</v>
      </c>
      <c r="AQ16" s="51">
        <v>450</v>
      </c>
      <c r="AR16" s="51">
        <v>51</v>
      </c>
      <c r="AS16" s="51">
        <v>34</v>
      </c>
      <c r="AT16" s="51">
        <v>6</v>
      </c>
      <c r="AU16" s="51">
        <v>54050</v>
      </c>
      <c r="AV16" s="51">
        <v>58527</v>
      </c>
      <c r="AW16" s="51">
        <v>43511</v>
      </c>
      <c r="AX16" s="51">
        <v>69066</v>
      </c>
      <c r="AY16" s="14">
        <v>27683.333333333332</v>
      </c>
      <c r="AZ16" s="14">
        <v>168847</v>
      </c>
      <c r="BA16" s="14">
        <v>19</v>
      </c>
      <c r="BB16" s="14">
        <v>143</v>
      </c>
      <c r="BC16" s="14">
        <v>168685</v>
      </c>
      <c r="BD16" s="14">
        <v>103580</v>
      </c>
      <c r="BE16" s="11">
        <f>Table14[[#This Row],[Melayu_Voters_GE15]]/Table14[[#This Row],[All_Voters_GE15]]</f>
        <v>0.61345478450905255</v>
      </c>
      <c r="BF16" s="14">
        <v>43311</v>
      </c>
      <c r="BG16" s="11">
        <f>Table14[[#This Row],[Chinese_Voters_GE15]]/Table14[[#This Row],[All_Voters_GE15]]</f>
        <v>0.25651033183888372</v>
      </c>
      <c r="BH16" s="14">
        <v>21024</v>
      </c>
      <c r="BI16" s="11">
        <f>Table14[[#This Row],[India_Voters_GE15]]/Table14[[#This Row],[All_Voters_GE15]]</f>
        <v>0.12451509354622824</v>
      </c>
      <c r="BJ16" s="14">
        <v>10</v>
      </c>
      <c r="BK16" s="14">
        <v>146</v>
      </c>
      <c r="BL16" s="14">
        <v>90</v>
      </c>
      <c r="BM16" s="14">
        <v>686</v>
      </c>
      <c r="BN16" s="14">
        <f>Table14[[#This Row],[Lain_Voters_GE15]]+Table14[[#This Row],[Swak_Voters_GE15]]+Table14[[#This Row],[Sabah_Voters_GE15]]+Table14[[#This Row],[OA_Voters_GE15]]</f>
        <v>932</v>
      </c>
      <c r="BO16" s="11">
        <f>Table14[[#This Row],[Base_Stock_GE15]]/Table14[[#This Row],[All_Voters_GE15]]</f>
        <v>0.26268752183929828</v>
      </c>
      <c r="BP16" s="14">
        <v>32715</v>
      </c>
      <c r="BQ16" s="10">
        <v>61662</v>
      </c>
      <c r="BR16" s="44">
        <v>34715</v>
      </c>
      <c r="BS16" s="10">
        <v>11412</v>
      </c>
      <c r="BT16" s="10">
        <v>79575</v>
      </c>
      <c r="BU16" s="10">
        <v>50767</v>
      </c>
      <c r="BV16" s="10">
        <v>27093</v>
      </c>
      <c r="BW16" s="10">
        <f t="shared" si="0"/>
        <v>90987</v>
      </c>
      <c r="BX16" s="10">
        <f t="shared" si="1"/>
        <v>77860</v>
      </c>
      <c r="BY16" s="14">
        <v>176966</v>
      </c>
      <c r="BZ16" s="14">
        <v>0</v>
      </c>
      <c r="CA16" s="14">
        <v>189</v>
      </c>
      <c r="CB16" s="14">
        <v>176777</v>
      </c>
      <c r="CC16" s="14">
        <v>110826</v>
      </c>
      <c r="CD16" s="14">
        <v>43430</v>
      </c>
      <c r="CE16" s="14">
        <v>21634</v>
      </c>
      <c r="CF16" s="14">
        <v>11</v>
      </c>
      <c r="CG16" s="14">
        <v>186</v>
      </c>
      <c r="CH16" s="14">
        <v>105</v>
      </c>
      <c r="CI16" s="14">
        <v>774</v>
      </c>
      <c r="CJ16" s="14">
        <f t="shared" si="2"/>
        <v>1076</v>
      </c>
      <c r="CK16" s="14">
        <v>86587</v>
      </c>
      <c r="CL16" s="14">
        <v>90379</v>
      </c>
      <c r="CM16" s="14">
        <v>90734</v>
      </c>
      <c r="CN16" s="11">
        <f t="shared" si="3"/>
        <v>0.51271995750596155</v>
      </c>
      <c r="CO16" s="14">
        <v>86232</v>
      </c>
      <c r="CP16" s="11">
        <f t="shared" si="4"/>
        <v>0.48728004249403839</v>
      </c>
      <c r="CQ16" s="29">
        <v>9609</v>
      </c>
      <c r="CR16" s="29">
        <v>80183</v>
      </c>
      <c r="CS16" s="29">
        <v>51526</v>
      </c>
      <c r="CT16" s="29">
        <v>28580</v>
      </c>
      <c r="CU16" s="45">
        <v>17154</v>
      </c>
      <c r="CV16" s="45">
        <v>5833</v>
      </c>
      <c r="CW16" s="45">
        <v>8377</v>
      </c>
      <c r="CX16" s="45">
        <v>1915</v>
      </c>
      <c r="CY16" s="45">
        <v>1029</v>
      </c>
      <c r="CZ16" s="45">
        <v>151</v>
      </c>
      <c r="DA16" s="45">
        <v>151</v>
      </c>
      <c r="DB16" s="45">
        <v>145</v>
      </c>
      <c r="DC16" s="45">
        <v>131</v>
      </c>
    </row>
    <row r="17" spans="1:107" x14ac:dyDescent="0.35">
      <c r="A17" s="1" t="s">
        <v>37</v>
      </c>
      <c r="B17" s="5" t="s">
        <v>0</v>
      </c>
      <c r="C17" s="3" t="s">
        <v>127</v>
      </c>
      <c r="D17" s="4" t="s">
        <v>128</v>
      </c>
      <c r="E17" s="5">
        <v>3</v>
      </c>
      <c r="F17" s="5">
        <v>78</v>
      </c>
      <c r="G17" s="18">
        <v>0.83538103997759261</v>
      </c>
      <c r="H17" s="2" t="s">
        <v>1276</v>
      </c>
      <c r="I17" s="9" t="s">
        <v>13</v>
      </c>
      <c r="J1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HASSAN </v>
      </c>
      <c r="K17" s="8">
        <v>35356</v>
      </c>
      <c r="L17" s="8" t="s">
        <v>8</v>
      </c>
      <c r="M17" s="7" t="s">
        <v>130</v>
      </c>
      <c r="N17" s="8">
        <v>8636</v>
      </c>
      <c r="O17" s="8" t="s">
        <v>10</v>
      </c>
      <c r="P17" s="7" t="s">
        <v>131</v>
      </c>
      <c r="Q17" s="8">
        <v>64493</v>
      </c>
      <c r="R17" s="8" t="s">
        <v>12</v>
      </c>
      <c r="S17" s="7" t="s">
        <v>129</v>
      </c>
      <c r="T17" s="10">
        <v>29137</v>
      </c>
      <c r="U17" s="10">
        <v>0</v>
      </c>
      <c r="V17" s="10">
        <v>0</v>
      </c>
      <c r="W17" s="10">
        <v>1</v>
      </c>
      <c r="X17" s="10">
        <v>56132</v>
      </c>
      <c r="Y17" s="12" t="s">
        <v>14</v>
      </c>
      <c r="Z17" s="12" t="s">
        <v>1277</v>
      </c>
      <c r="AA17" s="13" t="s">
        <v>132</v>
      </c>
      <c r="AB17" s="14">
        <v>1074</v>
      </c>
      <c r="AC17" s="15" t="s">
        <v>133</v>
      </c>
      <c r="AD17" s="16">
        <v>61731</v>
      </c>
      <c r="AE17" s="14">
        <v>38557</v>
      </c>
      <c r="AF17" s="14">
        <v>37483</v>
      </c>
      <c r="AG17" s="14">
        <v>14472</v>
      </c>
      <c r="AH17" s="14" t="s">
        <v>17</v>
      </c>
      <c r="AI17" s="15" t="s">
        <v>18</v>
      </c>
      <c r="AJ17" s="14">
        <v>1</v>
      </c>
      <c r="AK17" s="14">
        <v>0</v>
      </c>
      <c r="AL17" s="14">
        <v>0</v>
      </c>
      <c r="AM17" s="51">
        <v>107213</v>
      </c>
      <c r="AN17" s="51">
        <v>95283</v>
      </c>
      <c r="AO17" s="51">
        <v>4691</v>
      </c>
      <c r="AP17" s="51">
        <v>5540</v>
      </c>
      <c r="AQ17" s="51">
        <v>1485</v>
      </c>
      <c r="AR17" s="51">
        <v>56</v>
      </c>
      <c r="AS17" s="51">
        <v>37</v>
      </c>
      <c r="AT17" s="51">
        <v>121</v>
      </c>
      <c r="AU17" s="51">
        <v>52321</v>
      </c>
      <c r="AV17" s="51">
        <v>54892</v>
      </c>
      <c r="AW17" s="51">
        <v>47283</v>
      </c>
      <c r="AX17" s="51">
        <v>59930</v>
      </c>
      <c r="AY17" s="14">
        <v>36840.666666666664</v>
      </c>
      <c r="AZ17" s="14">
        <v>132099</v>
      </c>
      <c r="BA17" s="14">
        <v>8</v>
      </c>
      <c r="BB17" s="14">
        <v>295</v>
      </c>
      <c r="BC17" s="14">
        <v>131796</v>
      </c>
      <c r="BD17" s="14">
        <v>118081</v>
      </c>
      <c r="BE17" s="11">
        <f>Table14[[#This Row],[Melayu_Voters_GE15]]/Table14[[#This Row],[All_Voters_GE15]]</f>
        <v>0.89388261833927585</v>
      </c>
      <c r="BF17" s="14">
        <v>5608</v>
      </c>
      <c r="BG17" s="11">
        <f>Table14[[#This Row],[Chinese_Voters_GE15]]/Table14[[#This Row],[All_Voters_GE15]]</f>
        <v>4.2453008728302259E-2</v>
      </c>
      <c r="BH17" s="14">
        <v>6108</v>
      </c>
      <c r="BI17" s="11">
        <f>Table14[[#This Row],[India_Voters_GE15]]/Table14[[#This Row],[All_Voters_GE15]]</f>
        <v>4.6238048736175139E-2</v>
      </c>
      <c r="BJ17" s="14">
        <v>185</v>
      </c>
      <c r="BK17" s="14">
        <v>112</v>
      </c>
      <c r="BL17" s="14">
        <v>63</v>
      </c>
      <c r="BM17" s="14">
        <v>1942</v>
      </c>
      <c r="BN17" s="14">
        <f>Table14[[#This Row],[Lain_Voters_GE15]]+Table14[[#This Row],[Swak_Voters_GE15]]+Table14[[#This Row],[Sabah_Voters_GE15]]+Table14[[#This Row],[OA_Voters_GE15]]</f>
        <v>2302</v>
      </c>
      <c r="BO17" s="11">
        <f>Table14[[#This Row],[Base_Stock_GE15]]/Table14[[#This Row],[All_Voters_GE15]]</f>
        <v>0.42492373144384138</v>
      </c>
      <c r="BP17" s="14">
        <v>41074</v>
      </c>
      <c r="BQ17" s="10">
        <v>31449</v>
      </c>
      <c r="BR17" s="44">
        <v>23698</v>
      </c>
      <c r="BS17" s="10">
        <v>7467</v>
      </c>
      <c r="BT17" s="10">
        <v>61851</v>
      </c>
      <c r="BU17" s="10">
        <v>41484</v>
      </c>
      <c r="BV17" s="10">
        <v>21297</v>
      </c>
      <c r="BW17" s="10">
        <f t="shared" si="0"/>
        <v>69318</v>
      </c>
      <c r="BX17" s="10">
        <f t="shared" si="1"/>
        <v>62781</v>
      </c>
      <c r="BY17" s="14">
        <v>135044</v>
      </c>
      <c r="BZ17" s="14">
        <v>0</v>
      </c>
      <c r="CA17" s="14">
        <v>360</v>
      </c>
      <c r="CB17" s="14">
        <v>134684</v>
      </c>
      <c r="CC17" s="14">
        <v>121390</v>
      </c>
      <c r="CD17" s="14">
        <v>5324</v>
      </c>
      <c r="CE17" s="14">
        <v>5945</v>
      </c>
      <c r="CF17" s="14">
        <v>203</v>
      </c>
      <c r="CG17" s="14">
        <v>133</v>
      </c>
      <c r="CH17" s="14">
        <v>66</v>
      </c>
      <c r="CI17" s="14">
        <v>1983</v>
      </c>
      <c r="CJ17" s="14">
        <f t="shared" si="2"/>
        <v>2385</v>
      </c>
      <c r="CK17" s="14">
        <v>66012</v>
      </c>
      <c r="CL17" s="14">
        <v>69032</v>
      </c>
      <c r="CM17" s="14">
        <v>66113</v>
      </c>
      <c r="CN17" s="11">
        <f t="shared" si="3"/>
        <v>0.48956636355558186</v>
      </c>
      <c r="CO17" s="14">
        <v>68931</v>
      </c>
      <c r="CP17" s="11">
        <f t="shared" si="4"/>
        <v>0.51043363644441808</v>
      </c>
      <c r="CQ17" s="29">
        <v>6252</v>
      </c>
      <c r="CR17" s="29">
        <v>61452</v>
      </c>
      <c r="CS17" s="29">
        <v>42276</v>
      </c>
      <c r="CT17" s="29">
        <v>22207</v>
      </c>
      <c r="CU17" s="45">
        <v>37422</v>
      </c>
      <c r="CV17" s="45">
        <v>11828</v>
      </c>
      <c r="CW17" s="45">
        <v>16078</v>
      </c>
      <c r="CX17" s="45">
        <v>6003</v>
      </c>
      <c r="CY17" s="45">
        <v>3513</v>
      </c>
      <c r="CZ17" s="45">
        <v>244</v>
      </c>
      <c r="DA17" s="45">
        <v>243</v>
      </c>
      <c r="DB17" s="45">
        <v>243</v>
      </c>
      <c r="DC17" s="45">
        <v>241</v>
      </c>
    </row>
    <row r="18" spans="1:107" x14ac:dyDescent="0.35">
      <c r="A18" s="1" t="s">
        <v>37</v>
      </c>
      <c r="B18" s="5" t="s">
        <v>0</v>
      </c>
      <c r="C18" s="3" t="s">
        <v>134</v>
      </c>
      <c r="D18" s="4" t="s">
        <v>135</v>
      </c>
      <c r="E18" s="5">
        <v>2</v>
      </c>
      <c r="F18" s="5">
        <v>43</v>
      </c>
      <c r="G18" s="18">
        <v>0.68950525521599793</v>
      </c>
      <c r="H18" s="2" t="s">
        <v>1276</v>
      </c>
      <c r="I18" s="19" t="s">
        <v>4</v>
      </c>
      <c r="J1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CIKGU AZMAN </v>
      </c>
      <c r="K18" s="8">
        <v>2983</v>
      </c>
      <c r="L18" s="8" t="s">
        <v>137</v>
      </c>
      <c r="M18" s="7" t="s">
        <v>138</v>
      </c>
      <c r="N18" s="8">
        <v>35377</v>
      </c>
      <c r="O18" s="8" t="s">
        <v>23</v>
      </c>
      <c r="P18" s="7" t="s">
        <v>139</v>
      </c>
      <c r="Q18" s="8">
        <v>51637</v>
      </c>
      <c r="R18" s="8" t="s">
        <v>25</v>
      </c>
      <c r="S18" s="7" t="s">
        <v>136</v>
      </c>
      <c r="T18" s="20">
        <v>16260</v>
      </c>
      <c r="U18" s="10">
        <v>0</v>
      </c>
      <c r="V18" s="10">
        <v>0</v>
      </c>
      <c r="W18" s="10">
        <v>1</v>
      </c>
      <c r="X18" s="10">
        <v>32866</v>
      </c>
      <c r="Y18" s="12" t="s">
        <v>26</v>
      </c>
      <c r="Z18" s="12" t="s">
        <v>1277</v>
      </c>
      <c r="AA18" s="13" t="s">
        <v>140</v>
      </c>
      <c r="AB18" s="14">
        <v>8813</v>
      </c>
      <c r="AC18" s="15" t="s">
        <v>36</v>
      </c>
      <c r="AD18" s="16">
        <v>36658</v>
      </c>
      <c r="AE18" s="14">
        <v>15449</v>
      </c>
      <c r="AF18" s="14">
        <v>22911</v>
      </c>
      <c r="AG18" s="14">
        <v>31724</v>
      </c>
      <c r="AH18" s="14" t="s">
        <v>82</v>
      </c>
      <c r="AI18" s="15" t="s">
        <v>29</v>
      </c>
      <c r="AJ18" s="14">
        <v>0</v>
      </c>
      <c r="AK18" s="14">
        <v>0</v>
      </c>
      <c r="AL18" s="14">
        <v>0</v>
      </c>
      <c r="AM18" s="51">
        <v>84834</v>
      </c>
      <c r="AN18" s="51">
        <v>50101</v>
      </c>
      <c r="AO18" s="51">
        <v>16787</v>
      </c>
      <c r="AP18" s="51">
        <v>17635</v>
      </c>
      <c r="AQ18" s="51">
        <v>238</v>
      </c>
      <c r="AR18" s="51">
        <v>41</v>
      </c>
      <c r="AS18" s="51">
        <v>30</v>
      </c>
      <c r="AT18" s="51">
        <v>2</v>
      </c>
      <c r="AU18" s="51">
        <v>40934</v>
      </c>
      <c r="AV18" s="51">
        <v>43900</v>
      </c>
      <c r="AW18" s="51">
        <v>34326</v>
      </c>
      <c r="AX18" s="51">
        <v>50508</v>
      </c>
      <c r="AY18" s="14">
        <v>19399.666666666668</v>
      </c>
      <c r="AZ18" s="14">
        <v>133867</v>
      </c>
      <c r="BA18" s="14">
        <v>15</v>
      </c>
      <c r="BB18" s="14">
        <v>76</v>
      </c>
      <c r="BC18" s="14">
        <v>133776</v>
      </c>
      <c r="BD18" s="14">
        <v>83656</v>
      </c>
      <c r="BE18" s="11">
        <f>Table14[[#This Row],[Melayu_Voters_GE15]]/Table14[[#This Row],[All_Voters_GE15]]</f>
        <v>0.62491876265248347</v>
      </c>
      <c r="BF18" s="14">
        <v>23618</v>
      </c>
      <c r="BG18" s="11">
        <f>Table14[[#This Row],[Chinese_Voters_GE15]]/Table14[[#This Row],[All_Voters_GE15]]</f>
        <v>0.17642884355367641</v>
      </c>
      <c r="BH18" s="14">
        <v>25941</v>
      </c>
      <c r="BI18" s="11">
        <f>Table14[[#This Row],[India_Voters_GE15]]/Table14[[#This Row],[All_Voters_GE15]]</f>
        <v>0.19378188799330678</v>
      </c>
      <c r="BJ18" s="14">
        <v>3</v>
      </c>
      <c r="BK18" s="14">
        <v>101</v>
      </c>
      <c r="BL18" s="14">
        <v>102</v>
      </c>
      <c r="BM18" s="14">
        <v>446</v>
      </c>
      <c r="BN18" s="14">
        <f>Table14[[#This Row],[Lain_Voters_GE15]]+Table14[[#This Row],[Swak_Voters_GE15]]+Table14[[#This Row],[Sabah_Voters_GE15]]+Table14[[#This Row],[OA_Voters_GE15]]</f>
        <v>652</v>
      </c>
      <c r="BO18" s="11">
        <f>Table14[[#This Row],[Base_Stock_GE15]]/Table14[[#This Row],[All_Voters_GE15]]</f>
        <v>0.24551233687167115</v>
      </c>
      <c r="BP18" s="14">
        <v>18</v>
      </c>
      <c r="BQ18" s="10">
        <v>52286</v>
      </c>
      <c r="BR18" s="44">
        <v>32121</v>
      </c>
      <c r="BS18" s="10">
        <v>10948</v>
      </c>
      <c r="BT18" s="10">
        <v>65427</v>
      </c>
      <c r="BU18" s="10">
        <v>39655</v>
      </c>
      <c r="BV18" s="10">
        <v>17837</v>
      </c>
      <c r="BW18" s="10">
        <f t="shared" si="0"/>
        <v>76375</v>
      </c>
      <c r="BX18" s="10">
        <f t="shared" si="1"/>
        <v>57492</v>
      </c>
      <c r="BY18" s="14">
        <v>142484</v>
      </c>
      <c r="BZ18" s="14">
        <v>0</v>
      </c>
      <c r="CA18" s="14">
        <v>78</v>
      </c>
      <c r="CB18" s="14">
        <v>142406</v>
      </c>
      <c r="CC18" s="14">
        <v>91581</v>
      </c>
      <c r="CD18" s="14">
        <v>23694</v>
      </c>
      <c r="CE18" s="14">
        <v>26458</v>
      </c>
      <c r="CF18" s="14">
        <v>3</v>
      </c>
      <c r="CG18" s="14">
        <v>121</v>
      </c>
      <c r="CH18" s="14">
        <v>114</v>
      </c>
      <c r="CI18" s="14">
        <v>513</v>
      </c>
      <c r="CJ18" s="14">
        <f t="shared" si="2"/>
        <v>751</v>
      </c>
      <c r="CK18" s="14">
        <v>69926</v>
      </c>
      <c r="CL18" s="14">
        <v>72558</v>
      </c>
      <c r="CM18" s="14">
        <v>78800</v>
      </c>
      <c r="CN18" s="11">
        <f t="shared" si="3"/>
        <v>0.55304455237079253</v>
      </c>
      <c r="CO18" s="14">
        <v>63684</v>
      </c>
      <c r="CP18" s="11">
        <f t="shared" si="4"/>
        <v>0.44695544762920747</v>
      </c>
      <c r="CQ18" s="29">
        <v>9338</v>
      </c>
      <c r="CR18" s="29">
        <v>66718</v>
      </c>
      <c r="CS18" s="29">
        <v>40283</v>
      </c>
      <c r="CT18" s="29">
        <v>18854</v>
      </c>
      <c r="CU18" s="45">
        <v>12004</v>
      </c>
      <c r="CV18" s="45">
        <v>4528</v>
      </c>
      <c r="CW18" s="45">
        <v>5665</v>
      </c>
      <c r="CX18" s="45">
        <v>1182</v>
      </c>
      <c r="CY18" s="45">
        <v>629</v>
      </c>
      <c r="CZ18" s="45">
        <v>92</v>
      </c>
      <c r="DA18" s="45">
        <v>91</v>
      </c>
      <c r="DB18" s="45">
        <v>88</v>
      </c>
      <c r="DC18" s="45">
        <v>75</v>
      </c>
    </row>
    <row r="19" spans="1:107" x14ac:dyDescent="0.35">
      <c r="A19" s="1" t="s">
        <v>37</v>
      </c>
      <c r="B19" s="5" t="s">
        <v>0</v>
      </c>
      <c r="C19" s="3" t="s">
        <v>141</v>
      </c>
      <c r="D19" s="4" t="s">
        <v>142</v>
      </c>
      <c r="E19" s="5">
        <v>2</v>
      </c>
      <c r="F19" s="5">
        <v>41</v>
      </c>
      <c r="G19" s="18">
        <v>0.79253613782851307</v>
      </c>
      <c r="H19" s="2" t="s">
        <v>1276</v>
      </c>
      <c r="I19" s="9" t="s">
        <v>13</v>
      </c>
      <c r="J1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CIKGU ROSLAN HASHIM </v>
      </c>
      <c r="K19" s="8">
        <v>13872</v>
      </c>
      <c r="L19" s="8" t="s">
        <v>8</v>
      </c>
      <c r="M19" s="7" t="s">
        <v>144</v>
      </c>
      <c r="N19" s="8">
        <v>21408</v>
      </c>
      <c r="O19" s="8" t="s">
        <v>23</v>
      </c>
      <c r="P19" s="7" t="s">
        <v>145</v>
      </c>
      <c r="Q19" s="8">
        <v>34469</v>
      </c>
      <c r="R19" s="8" t="s">
        <v>25</v>
      </c>
      <c r="S19" s="7" t="s">
        <v>143</v>
      </c>
      <c r="T19" s="10">
        <v>13061</v>
      </c>
      <c r="U19" s="10">
        <v>0</v>
      </c>
      <c r="V19" s="10">
        <v>0</v>
      </c>
      <c r="W19" s="10">
        <v>1</v>
      </c>
      <c r="X19" s="10">
        <v>36519</v>
      </c>
      <c r="Y19" s="12" t="s">
        <v>26</v>
      </c>
      <c r="Z19" s="12" t="s">
        <v>1277</v>
      </c>
      <c r="AA19" s="13" t="s">
        <v>146</v>
      </c>
      <c r="AB19" s="14">
        <v>4860</v>
      </c>
      <c r="AC19" s="15" t="s">
        <v>59</v>
      </c>
      <c r="AD19" s="16">
        <v>30676</v>
      </c>
      <c r="AE19" s="14">
        <v>18299</v>
      </c>
      <c r="AF19" s="14">
        <v>12885</v>
      </c>
      <c r="AG19" s="14">
        <v>23159</v>
      </c>
      <c r="AH19" s="14" t="s">
        <v>17</v>
      </c>
      <c r="AI19" s="15" t="s">
        <v>29</v>
      </c>
      <c r="AJ19" s="14">
        <v>0</v>
      </c>
      <c r="AK19" s="14">
        <v>0</v>
      </c>
      <c r="AL19" s="14">
        <v>0</v>
      </c>
      <c r="AM19" s="51">
        <v>66587</v>
      </c>
      <c r="AN19" s="51">
        <v>46070</v>
      </c>
      <c r="AO19" s="51">
        <v>11755</v>
      </c>
      <c r="AP19" s="51">
        <v>8585</v>
      </c>
      <c r="AQ19" s="51">
        <v>94</v>
      </c>
      <c r="AR19" s="51">
        <v>41</v>
      </c>
      <c r="AS19" s="51">
        <v>39</v>
      </c>
      <c r="AT19" s="51">
        <v>3</v>
      </c>
      <c r="AU19" s="51">
        <v>32673</v>
      </c>
      <c r="AV19" s="51">
        <v>33914</v>
      </c>
      <c r="AW19" s="51">
        <v>26099</v>
      </c>
      <c r="AX19" s="51">
        <v>40488</v>
      </c>
      <c r="AY19" s="14">
        <v>20584.333333333332</v>
      </c>
      <c r="AZ19" s="14">
        <v>90141</v>
      </c>
      <c r="BA19" s="14">
        <v>9</v>
      </c>
      <c r="BB19" s="14">
        <v>1487</v>
      </c>
      <c r="BC19" s="14">
        <v>88645</v>
      </c>
      <c r="BD19" s="14">
        <v>63054</v>
      </c>
      <c r="BE19" s="11">
        <f>Table14[[#This Row],[Melayu_Voters_GE15]]/Table14[[#This Row],[All_Voters_GE15]]</f>
        <v>0.69950411022731052</v>
      </c>
      <c r="BF19" s="14">
        <v>15434</v>
      </c>
      <c r="BG19" s="11">
        <f>Table14[[#This Row],[Chinese_Voters_GE15]]/Table14[[#This Row],[All_Voters_GE15]]</f>
        <v>0.17122064321451946</v>
      </c>
      <c r="BH19" s="14">
        <v>11326</v>
      </c>
      <c r="BI19" s="11">
        <f>Table14[[#This Row],[India_Voters_GE15]]/Table14[[#This Row],[All_Voters_GE15]]</f>
        <v>0.12564759654319343</v>
      </c>
      <c r="BJ19" s="14">
        <v>5</v>
      </c>
      <c r="BK19" s="14">
        <v>109</v>
      </c>
      <c r="BL19" s="14">
        <v>59</v>
      </c>
      <c r="BM19" s="14">
        <v>154</v>
      </c>
      <c r="BN19" s="14">
        <f>Table14[[#This Row],[Lain_Voters_GE15]]+Table14[[#This Row],[Swak_Voters_GE15]]+Table14[[#This Row],[Sabah_Voters_GE15]]+Table14[[#This Row],[OA_Voters_GE15]]</f>
        <v>327</v>
      </c>
      <c r="BO19" s="11">
        <f>Table14[[#This Row],[Base_Stock_GE15]]/Table14[[#This Row],[All_Voters_GE15]]</f>
        <v>0.4051319599294439</v>
      </c>
      <c r="BP19" s="14">
        <v>26392</v>
      </c>
      <c r="BQ19" s="10">
        <v>28152</v>
      </c>
      <c r="BR19" s="44">
        <v>15902</v>
      </c>
      <c r="BS19" s="10">
        <v>5019</v>
      </c>
      <c r="BT19" s="10">
        <v>41526</v>
      </c>
      <c r="BU19" s="10">
        <v>28190</v>
      </c>
      <c r="BV19" s="10">
        <v>15406</v>
      </c>
      <c r="BW19" s="10">
        <f t="shared" ref="BW19:BW34" si="5">BS19+BT19</f>
        <v>46545</v>
      </c>
      <c r="BX19" s="10">
        <f t="shared" ref="BX19:BX34" si="6">BU19+BV19</f>
        <v>43596</v>
      </c>
      <c r="BY19" s="14">
        <v>91648</v>
      </c>
      <c r="BZ19" s="14">
        <v>0</v>
      </c>
      <c r="CA19" s="14">
        <v>1420</v>
      </c>
      <c r="CB19" s="14">
        <v>90228</v>
      </c>
      <c r="CC19" s="14">
        <v>65104</v>
      </c>
      <c r="CD19" s="14">
        <v>14987</v>
      </c>
      <c r="CE19" s="14">
        <v>11208</v>
      </c>
      <c r="CF19" s="14">
        <v>8</v>
      </c>
      <c r="CG19" s="14">
        <v>104</v>
      </c>
      <c r="CH19" s="14">
        <v>65</v>
      </c>
      <c r="CI19" s="14">
        <v>172</v>
      </c>
      <c r="CJ19" s="14">
        <f t="shared" ref="CJ19:CJ34" si="7">SUM(CF19:CI19)</f>
        <v>349</v>
      </c>
      <c r="CK19" s="14">
        <v>45254</v>
      </c>
      <c r="CL19" s="14">
        <v>46394</v>
      </c>
      <c r="CM19" s="14">
        <v>44382</v>
      </c>
      <c r="CN19" s="11">
        <f t="shared" ref="CN19:CN34" si="8">CM19/$BY19</f>
        <v>0.4842658868715084</v>
      </c>
      <c r="CO19" s="14">
        <v>47266</v>
      </c>
      <c r="CP19" s="11">
        <f t="shared" ref="CP19:CP34" si="9">CO19/$BY19</f>
        <v>0.5157341131284916</v>
      </c>
      <c r="CQ19" s="29">
        <v>4243</v>
      </c>
      <c r="CR19" s="29">
        <v>41332</v>
      </c>
      <c r="CS19" s="29">
        <v>28488</v>
      </c>
      <c r="CT19" s="29">
        <v>16028</v>
      </c>
      <c r="CU19" s="45">
        <v>14086</v>
      </c>
      <c r="CV19" s="45">
        <v>5068</v>
      </c>
      <c r="CW19" s="45">
        <v>6404</v>
      </c>
      <c r="CX19" s="45">
        <v>1752</v>
      </c>
      <c r="CY19" s="45">
        <v>862</v>
      </c>
      <c r="CZ19" s="45">
        <v>104</v>
      </c>
      <c r="DA19" s="45">
        <v>104</v>
      </c>
      <c r="DB19" s="45">
        <v>101</v>
      </c>
      <c r="DC19" s="45">
        <v>96</v>
      </c>
    </row>
    <row r="20" spans="1:107" x14ac:dyDescent="0.35">
      <c r="A20" s="1" t="s">
        <v>147</v>
      </c>
      <c r="B20" s="5" t="s">
        <v>0</v>
      </c>
      <c r="C20" s="3" t="s">
        <v>148</v>
      </c>
      <c r="D20" s="4" t="s">
        <v>149</v>
      </c>
      <c r="E20" s="5">
        <v>4</v>
      </c>
      <c r="F20" s="5">
        <v>52</v>
      </c>
      <c r="G20" s="18">
        <v>0.71080062394976262</v>
      </c>
      <c r="H20" s="2" t="s">
        <v>1276</v>
      </c>
      <c r="I20" s="9" t="s">
        <v>13</v>
      </c>
      <c r="J2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KAK TAZ </v>
      </c>
      <c r="K20" s="8">
        <v>30633</v>
      </c>
      <c r="L20" s="8" t="s">
        <v>8</v>
      </c>
      <c r="M20" s="7" t="s">
        <v>151</v>
      </c>
      <c r="N20" s="8">
        <v>7762</v>
      </c>
      <c r="O20" s="8" t="s">
        <v>10</v>
      </c>
      <c r="P20" s="7" t="s">
        <v>152</v>
      </c>
      <c r="Q20" s="8">
        <v>65426</v>
      </c>
      <c r="R20" s="8" t="s">
        <v>12</v>
      </c>
      <c r="S20" s="7" t="s">
        <v>150</v>
      </c>
      <c r="T20" s="10">
        <v>34793</v>
      </c>
      <c r="U20" s="10">
        <v>0</v>
      </c>
      <c r="V20" s="10">
        <v>0</v>
      </c>
      <c r="W20" s="10">
        <v>1</v>
      </c>
      <c r="X20" s="10">
        <v>55771</v>
      </c>
      <c r="Y20" s="12" t="s">
        <v>95</v>
      </c>
      <c r="Z20" s="12" t="s">
        <v>1277</v>
      </c>
      <c r="AA20" s="13" t="s">
        <v>153</v>
      </c>
      <c r="AB20" s="14">
        <v>17500</v>
      </c>
      <c r="AC20" s="15" t="s">
        <v>154</v>
      </c>
      <c r="AD20" s="16">
        <v>51204</v>
      </c>
      <c r="AE20" s="14">
        <v>29541</v>
      </c>
      <c r="AF20" s="14">
        <v>47041</v>
      </c>
      <c r="AG20" s="14">
        <v>10003</v>
      </c>
      <c r="AH20" s="14" t="s">
        <v>17</v>
      </c>
      <c r="AI20" s="15" t="s">
        <v>18</v>
      </c>
      <c r="AJ20" s="14">
        <v>0</v>
      </c>
      <c r="AK20" s="14">
        <v>0</v>
      </c>
      <c r="AL20" s="14">
        <v>1</v>
      </c>
      <c r="AM20" s="51">
        <v>110924</v>
      </c>
      <c r="AN20" s="51">
        <v>103070</v>
      </c>
      <c r="AO20" s="51">
        <v>3474</v>
      </c>
      <c r="AP20" s="51">
        <v>202</v>
      </c>
      <c r="AQ20" s="51">
        <v>4105</v>
      </c>
      <c r="AR20" s="51">
        <v>23</v>
      </c>
      <c r="AS20" s="51">
        <v>46</v>
      </c>
      <c r="AT20" s="51">
        <v>4</v>
      </c>
      <c r="AU20" s="51">
        <v>55215</v>
      </c>
      <c r="AV20" s="51">
        <v>55709</v>
      </c>
      <c r="AW20" s="51">
        <v>51854</v>
      </c>
      <c r="AX20" s="51">
        <v>59070</v>
      </c>
      <c r="AY20" s="14">
        <v>30801.666666666668</v>
      </c>
      <c r="AZ20" s="14">
        <v>149371</v>
      </c>
      <c r="BA20" s="14">
        <v>15</v>
      </c>
      <c r="BB20" s="14">
        <v>408</v>
      </c>
      <c r="BC20" s="14">
        <v>148948</v>
      </c>
      <c r="BD20" s="14">
        <v>137969</v>
      </c>
      <c r="BE20" s="11">
        <f>Table14[[#This Row],[Melayu_Voters_GE15]]/Table14[[#This Row],[All_Voters_GE15]]</f>
        <v>0.92366657517188744</v>
      </c>
      <c r="BF20" s="14">
        <v>5457</v>
      </c>
      <c r="BG20" s="11">
        <f>Table14[[#This Row],[Chinese_Voters_GE15]]/Table14[[#This Row],[All_Voters_GE15]]</f>
        <v>3.6533195868006504E-2</v>
      </c>
      <c r="BH20" s="14">
        <v>240</v>
      </c>
      <c r="BI20" s="11">
        <f>Table14[[#This Row],[India_Voters_GE15]]/Table14[[#This Row],[All_Voters_GE15]]</f>
        <v>1.6067375862784611E-3</v>
      </c>
      <c r="BJ20" s="14">
        <v>12</v>
      </c>
      <c r="BK20" s="14">
        <v>64</v>
      </c>
      <c r="BL20" s="14">
        <v>45</v>
      </c>
      <c r="BM20" s="14">
        <v>5584</v>
      </c>
      <c r="BN20" s="14">
        <f>Table14[[#This Row],[Lain_Voters_GE15]]+Table14[[#This Row],[Swak_Voters_GE15]]+Table14[[#This Row],[Sabah_Voters_GE15]]+Table14[[#This Row],[OA_Voters_GE15]]</f>
        <v>5705</v>
      </c>
      <c r="BO20" s="11">
        <f>Table14[[#This Row],[Base_Stock_GE15]]/Table14[[#This Row],[All_Voters_GE15]]</f>
        <v>0.37337234135140018</v>
      </c>
      <c r="BP20" s="14">
        <v>30547</v>
      </c>
      <c r="BQ20" s="10">
        <v>43963</v>
      </c>
      <c r="BR20" s="44">
        <v>28434</v>
      </c>
      <c r="BS20" s="10">
        <v>9422</v>
      </c>
      <c r="BT20" s="10">
        <v>73342</v>
      </c>
      <c r="BU20" s="10">
        <v>44084</v>
      </c>
      <c r="BV20" s="10">
        <v>22523</v>
      </c>
      <c r="BW20" s="10">
        <f t="shared" si="5"/>
        <v>82764</v>
      </c>
      <c r="BX20" s="10">
        <f t="shared" si="6"/>
        <v>66607</v>
      </c>
      <c r="BY20" s="14">
        <v>153886</v>
      </c>
      <c r="BZ20" s="14">
        <v>0</v>
      </c>
      <c r="CA20" s="14">
        <v>429</v>
      </c>
      <c r="CB20" s="14">
        <v>153457</v>
      </c>
      <c r="CC20" s="14">
        <v>142190</v>
      </c>
      <c r="CD20" s="14">
        <v>5629</v>
      </c>
      <c r="CE20" s="14">
        <v>239</v>
      </c>
      <c r="CF20" s="14">
        <v>21</v>
      </c>
      <c r="CG20" s="14">
        <v>81</v>
      </c>
      <c r="CH20" s="14">
        <v>54</v>
      </c>
      <c r="CI20" s="14">
        <v>5672</v>
      </c>
      <c r="CJ20" s="14">
        <f t="shared" si="7"/>
        <v>5828</v>
      </c>
      <c r="CK20" s="14">
        <v>76838</v>
      </c>
      <c r="CL20" s="14">
        <v>77048</v>
      </c>
      <c r="CM20" s="14">
        <v>80554</v>
      </c>
      <c r="CN20" s="11">
        <f t="shared" si="8"/>
        <v>0.52346542245558403</v>
      </c>
      <c r="CO20" s="14">
        <v>73332</v>
      </c>
      <c r="CP20" s="11">
        <f t="shared" si="9"/>
        <v>0.47653457754441597</v>
      </c>
      <c r="CQ20" s="29">
        <v>7866</v>
      </c>
      <c r="CR20" s="29">
        <v>73234</v>
      </c>
      <c r="CS20" s="29">
        <v>44860</v>
      </c>
      <c r="CT20" s="29">
        <v>23692</v>
      </c>
      <c r="CU20" s="45">
        <v>25302</v>
      </c>
      <c r="CV20" s="45">
        <v>9241</v>
      </c>
      <c r="CW20" s="45">
        <v>10777</v>
      </c>
      <c r="CX20" s="45">
        <v>3244</v>
      </c>
      <c r="CY20" s="45">
        <v>2040</v>
      </c>
      <c r="CZ20" s="45">
        <v>219</v>
      </c>
      <c r="DA20" s="45">
        <v>218</v>
      </c>
      <c r="DB20" s="45">
        <v>204</v>
      </c>
      <c r="DC20" s="45">
        <v>193</v>
      </c>
    </row>
    <row r="21" spans="1:107" x14ac:dyDescent="0.35">
      <c r="A21" s="1" t="s">
        <v>147</v>
      </c>
      <c r="B21" s="5" t="s">
        <v>0</v>
      </c>
      <c r="C21" s="3" t="s">
        <v>155</v>
      </c>
      <c r="D21" s="4" t="s">
        <v>156</v>
      </c>
      <c r="E21" s="5">
        <v>3</v>
      </c>
      <c r="F21" s="5">
        <v>32</v>
      </c>
      <c r="G21" s="18">
        <v>0.73525452879923725</v>
      </c>
      <c r="H21" s="2" t="s">
        <v>1276</v>
      </c>
      <c r="I21" s="9" t="s">
        <v>13</v>
      </c>
      <c r="J2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MARZUK </v>
      </c>
      <c r="K21" s="8">
        <v>15663</v>
      </c>
      <c r="L21" s="8" t="s">
        <v>8</v>
      </c>
      <c r="M21" s="7" t="s">
        <v>158</v>
      </c>
      <c r="N21" s="8">
        <v>7356</v>
      </c>
      <c r="O21" s="8" t="s">
        <v>10</v>
      </c>
      <c r="P21" s="7" t="s">
        <v>159</v>
      </c>
      <c r="Q21" s="8">
        <v>53933</v>
      </c>
      <c r="R21" s="8" t="s">
        <v>12</v>
      </c>
      <c r="S21" s="7" t="s">
        <v>157</v>
      </c>
      <c r="T21" s="10">
        <v>38270</v>
      </c>
      <c r="U21" s="10">
        <v>0</v>
      </c>
      <c r="V21" s="10">
        <v>0</v>
      </c>
      <c r="W21" s="10">
        <v>1</v>
      </c>
      <c r="X21" s="10">
        <v>33792</v>
      </c>
      <c r="Y21" s="12" t="s">
        <v>95</v>
      </c>
      <c r="Z21" s="12" t="s">
        <v>1277</v>
      </c>
      <c r="AA21" s="13" t="s">
        <v>160</v>
      </c>
      <c r="AB21" s="14">
        <v>13232</v>
      </c>
      <c r="AC21" s="15" t="s">
        <v>161</v>
      </c>
      <c r="AD21" s="16">
        <v>26203</v>
      </c>
      <c r="AE21" s="14">
        <v>19360</v>
      </c>
      <c r="AF21" s="14">
        <v>32592</v>
      </c>
      <c r="AG21" s="14">
        <v>7435</v>
      </c>
      <c r="AH21" s="14" t="s">
        <v>17</v>
      </c>
      <c r="AI21" s="15" t="s">
        <v>29</v>
      </c>
      <c r="AJ21" s="14">
        <v>0</v>
      </c>
      <c r="AK21" s="14">
        <v>0</v>
      </c>
      <c r="AL21" s="14">
        <v>1</v>
      </c>
      <c r="AM21" s="51">
        <v>75384</v>
      </c>
      <c r="AN21" s="51">
        <v>73818</v>
      </c>
      <c r="AO21" s="51">
        <v>1121</v>
      </c>
      <c r="AP21" s="51">
        <v>110</v>
      </c>
      <c r="AQ21" s="51">
        <v>172</v>
      </c>
      <c r="AR21" s="51">
        <v>77</v>
      </c>
      <c r="AS21" s="51">
        <v>82</v>
      </c>
      <c r="AT21" s="51">
        <v>4</v>
      </c>
      <c r="AU21" s="51">
        <v>37127</v>
      </c>
      <c r="AV21" s="51">
        <v>38257</v>
      </c>
      <c r="AW21" s="51">
        <v>37668</v>
      </c>
      <c r="AX21" s="51">
        <v>37716</v>
      </c>
      <c r="AY21" s="14">
        <v>18103</v>
      </c>
      <c r="AZ21" s="14">
        <v>106982</v>
      </c>
      <c r="BA21" s="14">
        <v>22</v>
      </c>
      <c r="BB21" s="14">
        <v>2630</v>
      </c>
      <c r="BC21" s="14">
        <v>104330</v>
      </c>
      <c r="BD21" s="14">
        <v>103759</v>
      </c>
      <c r="BE21" s="11">
        <f>Table14[[#This Row],[Melayu_Voters_GE15]]/Table14[[#This Row],[All_Voters_GE15]]</f>
        <v>0.96987343665289483</v>
      </c>
      <c r="BF21" s="14">
        <v>1974</v>
      </c>
      <c r="BG21" s="11">
        <f>Table14[[#This Row],[Chinese_Voters_GE15]]/Table14[[#This Row],[All_Voters_GE15]]</f>
        <v>1.8451702155502795E-2</v>
      </c>
      <c r="BH21" s="14">
        <v>177</v>
      </c>
      <c r="BI21" s="11">
        <f>Table14[[#This Row],[India_Voters_GE15]]/Table14[[#This Row],[All_Voters_GE15]]</f>
        <v>1.6544839318763905E-3</v>
      </c>
      <c r="BJ21" s="14">
        <v>7</v>
      </c>
      <c r="BK21" s="14">
        <v>112</v>
      </c>
      <c r="BL21" s="14">
        <v>69</v>
      </c>
      <c r="BM21" s="14">
        <v>884</v>
      </c>
      <c r="BN21" s="14">
        <f>Table14[[#This Row],[Lain_Voters_GE15]]+Table14[[#This Row],[Swak_Voters_GE15]]+Table14[[#This Row],[Sabah_Voters_GE15]]+Table14[[#This Row],[OA_Voters_GE15]]</f>
        <v>1072</v>
      </c>
      <c r="BO21" s="11">
        <f>Table14[[#This Row],[Base_Stock_GE15]]/Table14[[#This Row],[All_Voters_GE15]]</f>
        <v>0.31586622048568919</v>
      </c>
      <c r="BP21" s="14">
        <v>23231</v>
      </c>
      <c r="BQ21" s="10">
        <v>35587</v>
      </c>
      <c r="BR21" s="44">
        <v>22672</v>
      </c>
      <c r="BS21" s="10">
        <v>7539</v>
      </c>
      <c r="BT21" s="10">
        <v>57498</v>
      </c>
      <c r="BU21" s="10">
        <v>29361</v>
      </c>
      <c r="BV21" s="10">
        <v>12584</v>
      </c>
      <c r="BW21" s="10">
        <f t="shared" si="5"/>
        <v>65037</v>
      </c>
      <c r="BX21" s="10">
        <f t="shared" si="6"/>
        <v>41945</v>
      </c>
      <c r="BY21" s="14">
        <v>111574</v>
      </c>
      <c r="BZ21" s="14">
        <v>0</v>
      </c>
      <c r="CA21" s="14">
        <v>2364</v>
      </c>
      <c r="CB21" s="14">
        <v>109210</v>
      </c>
      <c r="CC21" s="14">
        <v>108183</v>
      </c>
      <c r="CD21" s="14">
        <v>2032</v>
      </c>
      <c r="CE21" s="14">
        <v>178</v>
      </c>
      <c r="CF21" s="14">
        <v>11</v>
      </c>
      <c r="CG21" s="14">
        <v>111</v>
      </c>
      <c r="CH21" s="14">
        <v>77</v>
      </c>
      <c r="CI21" s="14">
        <v>982</v>
      </c>
      <c r="CJ21" s="14">
        <f t="shared" si="7"/>
        <v>1181</v>
      </c>
      <c r="CK21" s="14">
        <v>55254</v>
      </c>
      <c r="CL21" s="14">
        <v>56320</v>
      </c>
      <c r="CM21" s="14">
        <v>63598</v>
      </c>
      <c r="CN21" s="11">
        <f t="shared" si="8"/>
        <v>0.57000734938247266</v>
      </c>
      <c r="CO21" s="14">
        <v>47976</v>
      </c>
      <c r="CP21" s="11">
        <f t="shared" si="9"/>
        <v>0.42999265061752739</v>
      </c>
      <c r="CQ21" s="29">
        <v>6355</v>
      </c>
      <c r="CR21" s="29">
        <v>57614</v>
      </c>
      <c r="CS21" s="29">
        <v>30125</v>
      </c>
      <c r="CT21" s="29">
        <v>13265</v>
      </c>
      <c r="CU21" s="45">
        <v>16251</v>
      </c>
      <c r="CV21" s="45">
        <v>6430</v>
      </c>
      <c r="CW21" s="45">
        <v>7008</v>
      </c>
      <c r="CX21" s="45">
        <v>1926</v>
      </c>
      <c r="CY21" s="45">
        <v>887</v>
      </c>
      <c r="CZ21" s="45">
        <v>127</v>
      </c>
      <c r="DA21" s="45">
        <v>127</v>
      </c>
      <c r="DB21" s="45">
        <v>123</v>
      </c>
      <c r="DC21" s="45">
        <v>90</v>
      </c>
    </row>
    <row r="22" spans="1:107" x14ac:dyDescent="0.35">
      <c r="A22" s="1" t="s">
        <v>147</v>
      </c>
      <c r="B22" s="5" t="s">
        <v>0</v>
      </c>
      <c r="C22" s="3" t="s">
        <v>162</v>
      </c>
      <c r="D22" s="4" t="s">
        <v>163</v>
      </c>
      <c r="E22" s="5">
        <v>3</v>
      </c>
      <c r="F22" s="5">
        <v>33</v>
      </c>
      <c r="G22" s="18">
        <v>0.68452143785188391</v>
      </c>
      <c r="H22" s="2" t="s">
        <v>1276</v>
      </c>
      <c r="I22" s="9" t="s">
        <v>13</v>
      </c>
      <c r="J2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SERI TAKIYUDDIN </v>
      </c>
      <c r="K22" s="8">
        <v>16168</v>
      </c>
      <c r="L22" s="8" t="s">
        <v>8</v>
      </c>
      <c r="M22" s="7" t="s">
        <v>165</v>
      </c>
      <c r="N22" s="8">
        <v>19256</v>
      </c>
      <c r="O22" s="8" t="s">
        <v>10</v>
      </c>
      <c r="P22" s="7" t="s">
        <v>166</v>
      </c>
      <c r="Q22" s="8">
        <v>41869</v>
      </c>
      <c r="R22" s="8" t="s">
        <v>12</v>
      </c>
      <c r="S22" s="7" t="s">
        <v>164</v>
      </c>
      <c r="T22" s="10">
        <v>22613</v>
      </c>
      <c r="U22" s="10">
        <v>0</v>
      </c>
      <c r="V22" s="10">
        <v>0</v>
      </c>
      <c r="W22" s="10">
        <v>1</v>
      </c>
      <c r="X22" s="10">
        <v>28191</v>
      </c>
      <c r="Y22" s="12" t="s">
        <v>95</v>
      </c>
      <c r="Z22" s="12" t="s">
        <v>1277</v>
      </c>
      <c r="AA22" s="13" t="s">
        <v>167</v>
      </c>
      <c r="AB22" s="14">
        <v>5869</v>
      </c>
      <c r="AC22" s="15" t="s">
        <v>168</v>
      </c>
      <c r="AD22" s="16">
        <v>31892</v>
      </c>
      <c r="AE22" s="14">
        <v>16256</v>
      </c>
      <c r="AF22" s="14">
        <v>28291</v>
      </c>
      <c r="AG22" s="14">
        <v>22422</v>
      </c>
      <c r="AH22" s="14" t="s">
        <v>17</v>
      </c>
      <c r="AI22" s="15" t="s">
        <v>10</v>
      </c>
      <c r="AJ22" s="14">
        <v>0</v>
      </c>
      <c r="AK22" s="14">
        <v>0</v>
      </c>
      <c r="AL22" s="14">
        <v>1</v>
      </c>
      <c r="AM22" s="51">
        <v>88708</v>
      </c>
      <c r="AN22" s="51">
        <v>74927</v>
      </c>
      <c r="AO22" s="51">
        <v>12601</v>
      </c>
      <c r="AP22" s="51">
        <v>706</v>
      </c>
      <c r="AQ22" s="51">
        <v>397</v>
      </c>
      <c r="AR22" s="51">
        <v>37</v>
      </c>
      <c r="AS22" s="51">
        <v>40</v>
      </c>
      <c r="AT22" s="51">
        <v>0</v>
      </c>
      <c r="AU22" s="51">
        <v>43387</v>
      </c>
      <c r="AV22" s="51">
        <v>45321</v>
      </c>
      <c r="AW22" s="51">
        <v>37661</v>
      </c>
      <c r="AX22" s="51">
        <v>51047</v>
      </c>
      <c r="AY22" s="14">
        <v>20582.333333333332</v>
      </c>
      <c r="AZ22" s="14">
        <v>115450</v>
      </c>
      <c r="BA22" s="14">
        <v>27</v>
      </c>
      <c r="BB22" s="14">
        <v>855</v>
      </c>
      <c r="BC22" s="14">
        <v>114568</v>
      </c>
      <c r="BD22" s="14">
        <v>97503</v>
      </c>
      <c r="BE22" s="11">
        <f>Table14[[#This Row],[Melayu_Voters_GE15]]/Table14[[#This Row],[All_Voters_GE15]]</f>
        <v>0.84454742312689479</v>
      </c>
      <c r="BF22" s="14">
        <v>15804</v>
      </c>
      <c r="BG22" s="11">
        <f>Table14[[#This Row],[Chinese_Voters_GE15]]/Table14[[#This Row],[All_Voters_GE15]]</f>
        <v>0.13689042875703769</v>
      </c>
      <c r="BH22" s="14">
        <v>912</v>
      </c>
      <c r="BI22" s="11">
        <f>Table14[[#This Row],[India_Voters_GE15]]/Table14[[#This Row],[All_Voters_GE15]]</f>
        <v>7.8995236032914674E-3</v>
      </c>
      <c r="BJ22" s="14">
        <v>3</v>
      </c>
      <c r="BK22" s="14">
        <v>77</v>
      </c>
      <c r="BL22" s="14">
        <v>47</v>
      </c>
      <c r="BM22" s="14">
        <v>1104</v>
      </c>
      <c r="BN22" s="14">
        <f>Table14[[#This Row],[Lain_Voters_GE15]]+Table14[[#This Row],[Swak_Voters_GE15]]+Table14[[#This Row],[Sabah_Voters_GE15]]+Table14[[#This Row],[OA_Voters_GE15]]</f>
        <v>1231</v>
      </c>
      <c r="BO22" s="11">
        <f>Table14[[#This Row],[Base_Stock_GE15]]/Table14[[#This Row],[All_Voters_GE15]]</f>
        <v>0.24418362927674317</v>
      </c>
      <c r="BP22" s="14">
        <v>18879</v>
      </c>
      <c r="BQ22" s="10">
        <v>31710</v>
      </c>
      <c r="BR22" s="44">
        <v>18272</v>
      </c>
      <c r="BS22" s="10">
        <v>5664</v>
      </c>
      <c r="BT22" s="10">
        <v>54090</v>
      </c>
      <c r="BU22" s="10">
        <v>34768</v>
      </c>
      <c r="BV22" s="10">
        <v>20928</v>
      </c>
      <c r="BW22" s="10">
        <f t="shared" si="5"/>
        <v>59754</v>
      </c>
      <c r="BX22" s="10">
        <f t="shared" si="6"/>
        <v>55696</v>
      </c>
      <c r="BY22" s="14">
        <v>116938</v>
      </c>
      <c r="BZ22" s="14">
        <v>0</v>
      </c>
      <c r="CA22" s="14">
        <v>826</v>
      </c>
      <c r="CB22" s="14">
        <v>116112</v>
      </c>
      <c r="CC22" s="14">
        <v>99541</v>
      </c>
      <c r="CD22" s="14">
        <v>15211</v>
      </c>
      <c r="CE22" s="14">
        <v>874</v>
      </c>
      <c r="CF22" s="14">
        <v>3</v>
      </c>
      <c r="CG22" s="14">
        <v>89</v>
      </c>
      <c r="CH22" s="14">
        <v>48</v>
      </c>
      <c r="CI22" s="14">
        <v>1172</v>
      </c>
      <c r="CJ22" s="14">
        <f t="shared" si="7"/>
        <v>1312</v>
      </c>
      <c r="CK22" s="14">
        <v>57636</v>
      </c>
      <c r="CL22" s="14">
        <v>59302</v>
      </c>
      <c r="CM22" s="14">
        <v>55948</v>
      </c>
      <c r="CN22" s="11">
        <f t="shared" si="8"/>
        <v>0.47844156732627546</v>
      </c>
      <c r="CO22" s="14">
        <v>60990</v>
      </c>
      <c r="CP22" s="11">
        <f t="shared" si="9"/>
        <v>0.52155843267372459</v>
      </c>
      <c r="CQ22" s="29">
        <v>4827</v>
      </c>
      <c r="CR22" s="29">
        <v>53358</v>
      </c>
      <c r="CS22" s="29">
        <v>35066</v>
      </c>
      <c r="CT22" s="29">
        <v>21696</v>
      </c>
      <c r="CU22" s="45">
        <v>13869</v>
      </c>
      <c r="CV22" s="45">
        <v>5192</v>
      </c>
      <c r="CW22" s="45">
        <v>6137</v>
      </c>
      <c r="CX22" s="45">
        <v>1579</v>
      </c>
      <c r="CY22" s="45">
        <v>961</v>
      </c>
      <c r="CZ22" s="45">
        <v>120</v>
      </c>
      <c r="DA22" s="45">
        <v>120</v>
      </c>
      <c r="DB22" s="45">
        <v>115</v>
      </c>
      <c r="DC22" s="45">
        <v>103</v>
      </c>
    </row>
    <row r="23" spans="1:107" x14ac:dyDescent="0.35">
      <c r="A23" s="1" t="s">
        <v>147</v>
      </c>
      <c r="B23" s="5" t="s">
        <v>0</v>
      </c>
      <c r="C23" s="3" t="s">
        <v>169</v>
      </c>
      <c r="D23" s="4" t="s">
        <v>170</v>
      </c>
      <c r="E23" s="5">
        <v>3</v>
      </c>
      <c r="F23" s="5">
        <v>35</v>
      </c>
      <c r="G23" s="18">
        <v>0.69962134032831269</v>
      </c>
      <c r="H23" s="2" t="s">
        <v>1276</v>
      </c>
      <c r="I23" s="9" t="s">
        <v>13</v>
      </c>
      <c r="J2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FADHLI SHAARI </v>
      </c>
      <c r="K23" s="8">
        <v>13727</v>
      </c>
      <c r="L23" s="8" t="s">
        <v>8</v>
      </c>
      <c r="M23" s="7" t="s">
        <v>172</v>
      </c>
      <c r="N23" s="8">
        <v>6439</v>
      </c>
      <c r="O23" s="8" t="s">
        <v>23</v>
      </c>
      <c r="P23" s="7" t="s">
        <v>173</v>
      </c>
      <c r="Q23" s="8">
        <v>44444</v>
      </c>
      <c r="R23" s="8" t="s">
        <v>12</v>
      </c>
      <c r="S23" s="7" t="s">
        <v>171</v>
      </c>
      <c r="T23" s="10">
        <v>30717</v>
      </c>
      <c r="U23" s="10">
        <v>0</v>
      </c>
      <c r="V23" s="10">
        <v>0</v>
      </c>
      <c r="W23" s="10">
        <v>1</v>
      </c>
      <c r="X23" s="10">
        <v>32115</v>
      </c>
      <c r="Y23" s="12" t="s">
        <v>95</v>
      </c>
      <c r="Z23" s="12" t="s">
        <v>1277</v>
      </c>
      <c r="AA23" s="13" t="s">
        <v>174</v>
      </c>
      <c r="AB23" s="14">
        <v>13075</v>
      </c>
      <c r="AC23" s="15" t="s">
        <v>175</v>
      </c>
      <c r="AD23" s="16">
        <v>28482</v>
      </c>
      <c r="AE23" s="14">
        <v>15005</v>
      </c>
      <c r="AF23" s="14">
        <v>28080</v>
      </c>
      <c r="AG23" s="14">
        <v>5093</v>
      </c>
      <c r="AH23" s="14" t="s">
        <v>17</v>
      </c>
      <c r="AI23" s="15" t="s">
        <v>29</v>
      </c>
      <c r="AJ23" s="14">
        <v>0</v>
      </c>
      <c r="AK23" s="14">
        <v>0</v>
      </c>
      <c r="AL23" s="14">
        <v>1</v>
      </c>
      <c r="AM23" s="51">
        <v>71222</v>
      </c>
      <c r="AN23" s="51">
        <v>69501</v>
      </c>
      <c r="AO23" s="51">
        <v>1414</v>
      </c>
      <c r="AP23" s="51">
        <v>56</v>
      </c>
      <c r="AQ23" s="51">
        <v>204</v>
      </c>
      <c r="AR23" s="51">
        <v>26</v>
      </c>
      <c r="AS23" s="51">
        <v>20</v>
      </c>
      <c r="AT23" s="51">
        <v>1</v>
      </c>
      <c r="AU23" s="51">
        <v>35126</v>
      </c>
      <c r="AV23" s="51">
        <v>36096</v>
      </c>
      <c r="AW23" s="51">
        <v>31964</v>
      </c>
      <c r="AX23" s="51">
        <v>39258</v>
      </c>
      <c r="AY23" s="14">
        <v>17343.5</v>
      </c>
      <c r="AZ23" s="14">
        <v>94544</v>
      </c>
      <c r="BA23" s="14">
        <v>4</v>
      </c>
      <c r="BB23" s="14">
        <v>122</v>
      </c>
      <c r="BC23" s="14">
        <v>94418</v>
      </c>
      <c r="BD23" s="14">
        <v>92087</v>
      </c>
      <c r="BE23" s="11">
        <f>Table14[[#This Row],[Melayu_Voters_GE15]]/Table14[[#This Row],[All_Voters_GE15]]</f>
        <v>0.97401210018615669</v>
      </c>
      <c r="BF23" s="14">
        <v>1840</v>
      </c>
      <c r="BG23" s="11">
        <f>Table14[[#This Row],[Chinese_Voters_GE15]]/Table14[[#This Row],[All_Voters_GE15]]</f>
        <v>1.9461837874428838E-2</v>
      </c>
      <c r="BH23" s="14">
        <v>73</v>
      </c>
      <c r="BI23" s="11">
        <f>Table14[[#This Row],[India_Voters_GE15]]/Table14[[#This Row],[All_Voters_GE15]]</f>
        <v>7.7212726349636151E-4</v>
      </c>
      <c r="BJ23" s="14">
        <v>4</v>
      </c>
      <c r="BK23" s="14">
        <v>47</v>
      </c>
      <c r="BL23" s="14">
        <v>14</v>
      </c>
      <c r="BM23" s="14">
        <v>479</v>
      </c>
      <c r="BN23" s="14">
        <f>Table14[[#This Row],[Lain_Voters_GE15]]+Table14[[#This Row],[Swak_Voters_GE15]]+Table14[[#This Row],[Sabah_Voters_GE15]]+Table14[[#This Row],[OA_Voters_GE15]]</f>
        <v>544</v>
      </c>
      <c r="BO23" s="11">
        <f>Table14[[#This Row],[Base_Stock_GE15]]/Table14[[#This Row],[All_Voters_GE15]]</f>
        <v>0.33968311050939243</v>
      </c>
      <c r="BP23" s="14">
        <v>19376</v>
      </c>
      <c r="BQ23" s="10">
        <v>27703</v>
      </c>
      <c r="BR23" s="44">
        <v>17372</v>
      </c>
      <c r="BS23" s="10">
        <v>5571</v>
      </c>
      <c r="BT23" s="10">
        <v>45710</v>
      </c>
      <c r="BU23" s="10">
        <v>28022</v>
      </c>
      <c r="BV23" s="10">
        <v>15241</v>
      </c>
      <c r="BW23" s="10">
        <f t="shared" si="5"/>
        <v>51281</v>
      </c>
      <c r="BX23" s="10">
        <f t="shared" si="6"/>
        <v>43263</v>
      </c>
      <c r="BY23" s="14">
        <v>96682</v>
      </c>
      <c r="BZ23" s="14">
        <v>0</v>
      </c>
      <c r="CA23" s="14">
        <v>108</v>
      </c>
      <c r="CB23" s="14">
        <v>96574</v>
      </c>
      <c r="CC23" s="14">
        <v>94219</v>
      </c>
      <c r="CD23" s="14">
        <v>1817</v>
      </c>
      <c r="CE23" s="14">
        <v>77</v>
      </c>
      <c r="CF23" s="14">
        <v>4</v>
      </c>
      <c r="CG23" s="14">
        <v>48</v>
      </c>
      <c r="CH23" s="14">
        <v>17</v>
      </c>
      <c r="CI23" s="14">
        <v>500</v>
      </c>
      <c r="CJ23" s="14">
        <f t="shared" si="7"/>
        <v>569</v>
      </c>
      <c r="CK23" s="14">
        <v>47615</v>
      </c>
      <c r="CL23" s="14">
        <v>49067</v>
      </c>
      <c r="CM23" s="14">
        <v>49253</v>
      </c>
      <c r="CN23" s="11">
        <f t="shared" si="8"/>
        <v>0.5094329864917978</v>
      </c>
      <c r="CO23" s="14">
        <v>47429</v>
      </c>
      <c r="CP23" s="11">
        <f t="shared" si="9"/>
        <v>0.49056701350820214</v>
      </c>
      <c r="CQ23" s="29">
        <v>4644</v>
      </c>
      <c r="CR23" s="29">
        <v>45354</v>
      </c>
      <c r="CS23" s="29">
        <v>28458</v>
      </c>
      <c r="CT23" s="29">
        <v>15908</v>
      </c>
      <c r="CU23" s="45">
        <v>18250</v>
      </c>
      <c r="CV23" s="45">
        <v>7010</v>
      </c>
      <c r="CW23" s="45">
        <v>7800</v>
      </c>
      <c r="CX23" s="45">
        <v>2343</v>
      </c>
      <c r="CY23" s="45">
        <v>1097</v>
      </c>
      <c r="CZ23" s="45">
        <v>157</v>
      </c>
      <c r="DA23" s="45">
        <v>156</v>
      </c>
      <c r="DB23" s="45">
        <v>150</v>
      </c>
      <c r="DC23" s="45">
        <v>122</v>
      </c>
    </row>
    <row r="24" spans="1:107" x14ac:dyDescent="0.35">
      <c r="A24" s="1" t="s">
        <v>147</v>
      </c>
      <c r="B24" s="5" t="s">
        <v>0</v>
      </c>
      <c r="C24" s="3" t="s">
        <v>176</v>
      </c>
      <c r="D24" s="4" t="s">
        <v>177</v>
      </c>
      <c r="E24" s="5">
        <v>3</v>
      </c>
      <c r="F24" s="5">
        <v>38</v>
      </c>
      <c r="G24" s="18">
        <v>0.65852350720658892</v>
      </c>
      <c r="H24" s="2" t="s">
        <v>1276</v>
      </c>
      <c r="I24" s="9" t="s">
        <v>13</v>
      </c>
      <c r="J2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KAK LAH </v>
      </c>
      <c r="K24" s="8">
        <v>17123</v>
      </c>
      <c r="L24" s="8" t="s">
        <v>8</v>
      </c>
      <c r="M24" s="7" t="s">
        <v>179</v>
      </c>
      <c r="N24" s="8">
        <v>4256</v>
      </c>
      <c r="O24" s="8" t="s">
        <v>10</v>
      </c>
      <c r="P24" s="7" t="s">
        <v>180</v>
      </c>
      <c r="Q24" s="8">
        <v>37759</v>
      </c>
      <c r="R24" s="8" t="s">
        <v>12</v>
      </c>
      <c r="S24" s="7" t="s">
        <v>178</v>
      </c>
      <c r="T24" s="10">
        <v>20636</v>
      </c>
      <c r="U24" s="10">
        <v>0</v>
      </c>
      <c r="V24" s="10">
        <v>0</v>
      </c>
      <c r="W24" s="10">
        <v>1</v>
      </c>
      <c r="X24" s="10">
        <v>34316</v>
      </c>
      <c r="Y24" s="12" t="s">
        <v>95</v>
      </c>
      <c r="Z24" s="12" t="s">
        <v>1277</v>
      </c>
      <c r="AA24" s="13" t="s">
        <v>181</v>
      </c>
      <c r="AB24" s="14">
        <v>6150</v>
      </c>
      <c r="AC24" s="15" t="s">
        <v>182</v>
      </c>
      <c r="AD24" s="16">
        <v>31252</v>
      </c>
      <c r="AE24" s="14">
        <v>18431</v>
      </c>
      <c r="AF24" s="14">
        <v>24581</v>
      </c>
      <c r="AG24" s="14">
        <v>5361</v>
      </c>
      <c r="AH24" s="14" t="s">
        <v>17</v>
      </c>
      <c r="AI24" s="15" t="s">
        <v>10</v>
      </c>
      <c r="AJ24" s="14">
        <v>0</v>
      </c>
      <c r="AK24" s="14">
        <v>0</v>
      </c>
      <c r="AL24" s="14">
        <v>1</v>
      </c>
      <c r="AM24" s="51">
        <v>66115</v>
      </c>
      <c r="AN24" s="51">
        <v>64129</v>
      </c>
      <c r="AO24" s="51">
        <v>1359</v>
      </c>
      <c r="AP24" s="51">
        <v>55</v>
      </c>
      <c r="AQ24" s="51">
        <v>527</v>
      </c>
      <c r="AR24" s="51">
        <v>20</v>
      </c>
      <c r="AS24" s="51">
        <v>22</v>
      </c>
      <c r="AT24" s="51">
        <v>3</v>
      </c>
      <c r="AU24" s="51">
        <v>33164</v>
      </c>
      <c r="AV24" s="51">
        <v>32951</v>
      </c>
      <c r="AW24" s="51">
        <v>29149</v>
      </c>
      <c r="AX24" s="51">
        <v>36966</v>
      </c>
      <c r="AY24" s="14">
        <v>16912.333333333332</v>
      </c>
      <c r="AZ24" s="14">
        <v>93248</v>
      </c>
      <c r="BA24" s="14">
        <v>15</v>
      </c>
      <c r="BB24" s="14">
        <v>399</v>
      </c>
      <c r="BC24" s="14">
        <v>92834</v>
      </c>
      <c r="BD24" s="14">
        <v>90262</v>
      </c>
      <c r="BE24" s="11">
        <f>Table14[[#This Row],[Melayu_Voters_GE15]]/Table14[[#This Row],[All_Voters_GE15]]</f>
        <v>0.96797786547700759</v>
      </c>
      <c r="BF24" s="14">
        <v>1815</v>
      </c>
      <c r="BG24" s="11">
        <f>Table14[[#This Row],[Chinese_Voters_GE15]]/Table14[[#This Row],[All_Voters_GE15]]</f>
        <v>1.9464224433768017E-2</v>
      </c>
      <c r="BH24" s="14">
        <v>93</v>
      </c>
      <c r="BI24" s="11">
        <f>Table14[[#This Row],[India_Voters_GE15]]/Table14[[#This Row],[All_Voters_GE15]]</f>
        <v>9.9734042553191482E-4</v>
      </c>
      <c r="BJ24" s="14">
        <v>3</v>
      </c>
      <c r="BK24" s="14">
        <v>56</v>
      </c>
      <c r="BL24" s="14">
        <v>37</v>
      </c>
      <c r="BM24" s="14">
        <v>982</v>
      </c>
      <c r="BN24" s="14">
        <f>Table14[[#This Row],[Lain_Voters_GE15]]+Table14[[#This Row],[Swak_Voters_GE15]]+Table14[[#This Row],[Sabah_Voters_GE15]]+Table14[[#This Row],[OA_Voters_GE15]]</f>
        <v>1078</v>
      </c>
      <c r="BO24" s="11">
        <f>Table14[[#This Row],[Base_Stock_GE15]]/Table14[[#This Row],[All_Voters_GE15]]</f>
        <v>0.36800789293067948</v>
      </c>
      <c r="BP24" s="14">
        <v>21182</v>
      </c>
      <c r="BQ24" s="10">
        <v>30545</v>
      </c>
      <c r="BR24" s="44">
        <v>18020</v>
      </c>
      <c r="BS24" s="10">
        <v>5938</v>
      </c>
      <c r="BT24" s="10">
        <v>45255</v>
      </c>
      <c r="BU24" s="10">
        <v>27312</v>
      </c>
      <c r="BV24" s="10">
        <v>14743</v>
      </c>
      <c r="BW24" s="10">
        <f t="shared" si="5"/>
        <v>51193</v>
      </c>
      <c r="BX24" s="10">
        <f t="shared" si="6"/>
        <v>42055</v>
      </c>
      <c r="BY24" s="14">
        <v>96332</v>
      </c>
      <c r="BZ24" s="14">
        <v>0</v>
      </c>
      <c r="CA24" s="14">
        <v>392</v>
      </c>
      <c r="CB24" s="14">
        <v>95940</v>
      </c>
      <c r="CC24" s="14">
        <v>93233</v>
      </c>
      <c r="CD24" s="14">
        <v>1817</v>
      </c>
      <c r="CE24" s="14">
        <v>91</v>
      </c>
      <c r="CF24" s="14">
        <v>4</v>
      </c>
      <c r="CG24" s="14">
        <v>65</v>
      </c>
      <c r="CH24" s="14">
        <v>41</v>
      </c>
      <c r="CI24" s="14">
        <v>1081</v>
      </c>
      <c r="CJ24" s="14">
        <f t="shared" si="7"/>
        <v>1191</v>
      </c>
      <c r="CK24" s="14">
        <v>48378</v>
      </c>
      <c r="CL24" s="14">
        <v>47954</v>
      </c>
      <c r="CM24" s="14">
        <v>50015</v>
      </c>
      <c r="CN24" s="11">
        <f t="shared" si="8"/>
        <v>0.51919403728771329</v>
      </c>
      <c r="CO24" s="14">
        <v>46317</v>
      </c>
      <c r="CP24" s="11">
        <f t="shared" si="9"/>
        <v>0.48080596271228665</v>
      </c>
      <c r="CQ24" s="29">
        <v>4974</v>
      </c>
      <c r="CR24" s="29">
        <v>45313</v>
      </c>
      <c r="CS24" s="29">
        <v>27801</v>
      </c>
      <c r="CT24" s="29">
        <v>15532</v>
      </c>
      <c r="CU24" s="45">
        <v>26443</v>
      </c>
      <c r="CV24" s="45">
        <v>11136</v>
      </c>
      <c r="CW24" s="45">
        <v>10697</v>
      </c>
      <c r="CX24" s="45">
        <v>2948</v>
      </c>
      <c r="CY24" s="45">
        <v>1662</v>
      </c>
      <c r="CZ24" s="45">
        <v>204</v>
      </c>
      <c r="DA24" s="45">
        <v>204</v>
      </c>
      <c r="DB24" s="45">
        <v>194</v>
      </c>
      <c r="DC24" s="45">
        <v>162</v>
      </c>
    </row>
    <row r="25" spans="1:107" x14ac:dyDescent="0.35">
      <c r="A25" s="1" t="s">
        <v>147</v>
      </c>
      <c r="B25" s="5" t="s">
        <v>0</v>
      </c>
      <c r="C25" s="3" t="s">
        <v>183</v>
      </c>
      <c r="D25" s="4" t="s">
        <v>184</v>
      </c>
      <c r="E25" s="5">
        <v>3</v>
      </c>
      <c r="F25" s="5">
        <v>40</v>
      </c>
      <c r="G25" s="18">
        <v>0.72599436818021823</v>
      </c>
      <c r="H25" s="2" t="s">
        <v>1276</v>
      </c>
      <c r="I25" s="9" t="s">
        <v>13</v>
      </c>
      <c r="J2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DATO' TUAN IBRAHIM </v>
      </c>
      <c r="K25" s="8">
        <v>14807</v>
      </c>
      <c r="L25" s="8" t="s">
        <v>8</v>
      </c>
      <c r="M25" s="7" t="s">
        <v>186</v>
      </c>
      <c r="N25" s="8">
        <v>10236</v>
      </c>
      <c r="O25" s="8" t="s">
        <v>10</v>
      </c>
      <c r="P25" s="7" t="s">
        <v>187</v>
      </c>
      <c r="Q25" s="8">
        <v>55654</v>
      </c>
      <c r="R25" s="8" t="s">
        <v>12</v>
      </c>
      <c r="S25" s="7" t="s">
        <v>185</v>
      </c>
      <c r="T25" s="10">
        <v>40847</v>
      </c>
      <c r="U25" s="10">
        <v>0</v>
      </c>
      <c r="V25" s="10">
        <v>0</v>
      </c>
      <c r="W25" s="10">
        <v>1</v>
      </c>
      <c r="X25" s="10">
        <v>26489</v>
      </c>
      <c r="Y25" s="12" t="s">
        <v>95</v>
      </c>
      <c r="Z25" s="12" t="s">
        <v>1277</v>
      </c>
      <c r="AA25" s="13" t="s">
        <v>188</v>
      </c>
      <c r="AB25" s="14">
        <v>19369</v>
      </c>
      <c r="AC25" s="15" t="s">
        <v>189</v>
      </c>
      <c r="AD25" s="16">
        <v>26674</v>
      </c>
      <c r="AE25" s="14">
        <v>16251</v>
      </c>
      <c r="AF25" s="14">
        <v>35620</v>
      </c>
      <c r="AG25" s="14">
        <v>11557</v>
      </c>
      <c r="AH25" s="14" t="s">
        <v>17</v>
      </c>
      <c r="AI25" s="15" t="s">
        <v>10</v>
      </c>
      <c r="AJ25" s="14">
        <v>0</v>
      </c>
      <c r="AK25" s="14">
        <v>0</v>
      </c>
      <c r="AL25" s="14">
        <v>1</v>
      </c>
      <c r="AM25" s="51">
        <v>82018</v>
      </c>
      <c r="AN25" s="51">
        <v>80361</v>
      </c>
      <c r="AO25" s="51">
        <v>1381</v>
      </c>
      <c r="AP25" s="51">
        <v>123</v>
      </c>
      <c r="AQ25" s="51">
        <v>88</v>
      </c>
      <c r="AR25" s="51">
        <v>36</v>
      </c>
      <c r="AS25" s="51">
        <v>28</v>
      </c>
      <c r="AT25" s="51">
        <v>1</v>
      </c>
      <c r="AU25" s="51">
        <v>40008</v>
      </c>
      <c r="AV25" s="51">
        <v>42010</v>
      </c>
      <c r="AW25" s="51">
        <v>39886</v>
      </c>
      <c r="AX25" s="51">
        <v>42132</v>
      </c>
      <c r="AY25" s="14">
        <v>17185.666666666668</v>
      </c>
      <c r="AZ25" s="14">
        <v>113640</v>
      </c>
      <c r="BA25" s="14">
        <v>13</v>
      </c>
      <c r="BB25" s="14">
        <v>98</v>
      </c>
      <c r="BC25" s="14">
        <v>113529</v>
      </c>
      <c r="BD25" s="14">
        <v>110647</v>
      </c>
      <c r="BE25" s="11">
        <f>Table14[[#This Row],[Melayu_Voters_GE15]]/Table14[[#This Row],[All_Voters_GE15]]</f>
        <v>0.97366244280183034</v>
      </c>
      <c r="BF25" s="14">
        <v>2265</v>
      </c>
      <c r="BG25" s="11">
        <f>Table14[[#This Row],[Chinese_Voters_GE15]]/Table14[[#This Row],[All_Voters_GE15]]</f>
        <v>1.9931362196409716E-2</v>
      </c>
      <c r="BH25" s="14">
        <v>203</v>
      </c>
      <c r="BI25" s="11">
        <f>Table14[[#This Row],[India_Voters_GE15]]/Table14[[#This Row],[All_Voters_GE15]]</f>
        <v>1.786342837029215E-3</v>
      </c>
      <c r="BJ25" s="14">
        <v>3</v>
      </c>
      <c r="BK25" s="14">
        <v>51</v>
      </c>
      <c r="BL25" s="14">
        <v>47</v>
      </c>
      <c r="BM25" s="14">
        <v>424</v>
      </c>
      <c r="BN25" s="14">
        <f>Table14[[#This Row],[Lain_Voters_GE15]]+Table14[[#This Row],[Swak_Voters_GE15]]+Table14[[#This Row],[Sabah_Voters_GE15]]+Table14[[#This Row],[OA_Voters_GE15]]</f>
        <v>525</v>
      </c>
      <c r="BO25" s="11">
        <f>Table14[[#This Row],[Base_Stock_GE15]]/Table14[[#This Row],[All_Voters_GE15]]</f>
        <v>0.23309574093629004</v>
      </c>
      <c r="BP25" s="14">
        <v>16504</v>
      </c>
      <c r="BQ25" s="10">
        <v>35561</v>
      </c>
      <c r="BR25" s="44">
        <v>23568</v>
      </c>
      <c r="BS25" s="10">
        <v>7750</v>
      </c>
      <c r="BT25" s="10">
        <v>59528</v>
      </c>
      <c r="BU25" s="10">
        <v>31066</v>
      </c>
      <c r="BV25" s="10">
        <v>15296</v>
      </c>
      <c r="BW25" s="10">
        <f t="shared" si="5"/>
        <v>67278</v>
      </c>
      <c r="BX25" s="10">
        <f t="shared" si="6"/>
        <v>46362</v>
      </c>
      <c r="BY25" s="14">
        <v>118423</v>
      </c>
      <c r="BZ25" s="14">
        <v>0</v>
      </c>
      <c r="CA25" s="14">
        <v>98</v>
      </c>
      <c r="CB25" s="14">
        <v>118325</v>
      </c>
      <c r="CC25" s="14">
        <v>115322</v>
      </c>
      <c r="CD25" s="14">
        <v>2317</v>
      </c>
      <c r="CE25" s="14">
        <v>199</v>
      </c>
      <c r="CF25" s="14">
        <v>3</v>
      </c>
      <c r="CG25" s="14">
        <v>61</v>
      </c>
      <c r="CH25" s="14">
        <v>53</v>
      </c>
      <c r="CI25" s="14">
        <v>468</v>
      </c>
      <c r="CJ25" s="14">
        <f t="shared" si="7"/>
        <v>585</v>
      </c>
      <c r="CK25" s="14">
        <v>58084</v>
      </c>
      <c r="CL25" s="14">
        <v>60339</v>
      </c>
      <c r="CM25" s="14">
        <v>65896</v>
      </c>
      <c r="CN25" s="11">
        <f t="shared" si="8"/>
        <v>0.5564459606664246</v>
      </c>
      <c r="CO25" s="14">
        <v>52527</v>
      </c>
      <c r="CP25" s="11">
        <f t="shared" si="9"/>
        <v>0.4435540393335754</v>
      </c>
      <c r="CQ25" s="29">
        <v>6551</v>
      </c>
      <c r="CR25" s="29">
        <v>59628</v>
      </c>
      <c r="CS25" s="29">
        <v>31680</v>
      </c>
      <c r="CT25" s="29">
        <v>16006</v>
      </c>
      <c r="CU25" s="45">
        <v>14952</v>
      </c>
      <c r="CV25" s="45">
        <v>5919</v>
      </c>
      <c r="CW25" s="45">
        <v>6552</v>
      </c>
      <c r="CX25" s="45">
        <v>1412</v>
      </c>
      <c r="CY25" s="45">
        <v>1069</v>
      </c>
      <c r="CZ25" s="45">
        <v>151</v>
      </c>
      <c r="DA25" s="45">
        <v>151</v>
      </c>
      <c r="DB25" s="45">
        <v>140</v>
      </c>
      <c r="DC25" s="45">
        <v>112</v>
      </c>
    </row>
    <row r="26" spans="1:107" x14ac:dyDescent="0.35">
      <c r="A26" s="1" t="s">
        <v>147</v>
      </c>
      <c r="B26" s="5" t="s">
        <v>0</v>
      </c>
      <c r="C26" s="3" t="s">
        <v>190</v>
      </c>
      <c r="D26" s="4" t="s">
        <v>191</v>
      </c>
      <c r="E26" s="5">
        <v>3</v>
      </c>
      <c r="F26" s="5">
        <v>50</v>
      </c>
      <c r="G26" s="18">
        <v>0.74029695656056438</v>
      </c>
      <c r="H26" s="2" t="s">
        <v>1276</v>
      </c>
      <c r="I26" s="9" t="s">
        <v>13</v>
      </c>
      <c r="J2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SYAHIR SULAIMAN </v>
      </c>
      <c r="K26" s="8">
        <v>27229</v>
      </c>
      <c r="L26" s="8" t="s">
        <v>8</v>
      </c>
      <c r="M26" s="7" t="s">
        <v>193</v>
      </c>
      <c r="N26" s="8">
        <v>4366</v>
      </c>
      <c r="O26" s="8" t="s">
        <v>23</v>
      </c>
      <c r="P26" s="7" t="s">
        <v>194</v>
      </c>
      <c r="Q26" s="8">
        <v>57130</v>
      </c>
      <c r="R26" s="8" t="s">
        <v>12</v>
      </c>
      <c r="S26" s="7" t="s">
        <v>192</v>
      </c>
      <c r="T26" s="10">
        <v>29901</v>
      </c>
      <c r="U26" s="10">
        <v>0</v>
      </c>
      <c r="V26" s="10">
        <v>0</v>
      </c>
      <c r="W26" s="10">
        <v>1</v>
      </c>
      <c r="X26" s="10">
        <v>61072</v>
      </c>
      <c r="Y26" s="12" t="s">
        <v>95</v>
      </c>
      <c r="Z26" s="12" t="s">
        <v>1277</v>
      </c>
      <c r="AA26" s="13" t="s">
        <v>195</v>
      </c>
      <c r="AB26" s="14">
        <v>3292</v>
      </c>
      <c r="AC26" s="15" t="s">
        <v>196</v>
      </c>
      <c r="AD26" s="16">
        <v>41802</v>
      </c>
      <c r="AE26" s="14">
        <v>32896</v>
      </c>
      <c r="AF26" s="14">
        <v>36188</v>
      </c>
      <c r="AG26" s="14">
        <v>4880</v>
      </c>
      <c r="AH26" s="14" t="s">
        <v>17</v>
      </c>
      <c r="AI26" s="15" t="s">
        <v>18</v>
      </c>
      <c r="AJ26" s="14">
        <v>0</v>
      </c>
      <c r="AK26" s="14">
        <v>0</v>
      </c>
      <c r="AL26" s="14">
        <v>1</v>
      </c>
      <c r="AM26" s="51">
        <v>92606</v>
      </c>
      <c r="AN26" s="51">
        <v>91174</v>
      </c>
      <c r="AO26" s="51">
        <v>996</v>
      </c>
      <c r="AP26" s="51">
        <v>42</v>
      </c>
      <c r="AQ26" s="51">
        <v>341</v>
      </c>
      <c r="AR26" s="51">
        <v>25</v>
      </c>
      <c r="AS26" s="51">
        <v>26</v>
      </c>
      <c r="AT26" s="51">
        <v>2</v>
      </c>
      <c r="AU26" s="51">
        <v>45073</v>
      </c>
      <c r="AV26" s="51">
        <v>47533</v>
      </c>
      <c r="AW26" s="51">
        <v>44876</v>
      </c>
      <c r="AX26" s="51">
        <v>47730</v>
      </c>
      <c r="AY26" s="14">
        <v>17185.666666666668</v>
      </c>
      <c r="AZ26" s="14">
        <v>123183</v>
      </c>
      <c r="BA26" s="14">
        <v>8</v>
      </c>
      <c r="BB26" s="14">
        <v>250</v>
      </c>
      <c r="BC26" s="14">
        <v>122925</v>
      </c>
      <c r="BD26" s="14">
        <v>121057</v>
      </c>
      <c r="BE26" s="11">
        <f>Table14[[#This Row],[Melayu_Voters_GE15]]/Table14[[#This Row],[All_Voters_GE15]]</f>
        <v>0.98274112499289679</v>
      </c>
      <c r="BF26" s="14">
        <v>1330</v>
      </c>
      <c r="BG26" s="11">
        <f>Table14[[#This Row],[Chinese_Voters_GE15]]/Table14[[#This Row],[All_Voters_GE15]]</f>
        <v>1.079694438355942E-2</v>
      </c>
      <c r="BH26" s="14">
        <v>61</v>
      </c>
      <c r="BI26" s="11">
        <f>Table14[[#This Row],[India_Voters_GE15]]/Table14[[#This Row],[All_Voters_GE15]]</f>
        <v>4.9519820105046965E-4</v>
      </c>
      <c r="BJ26" s="14">
        <v>8</v>
      </c>
      <c r="BK26" s="14">
        <v>69</v>
      </c>
      <c r="BL26" s="14">
        <v>36</v>
      </c>
      <c r="BM26" s="14">
        <v>622</v>
      </c>
      <c r="BN26" s="14">
        <f>Table14[[#This Row],[Lain_Voters_GE15]]+Table14[[#This Row],[Swak_Voters_GE15]]+Table14[[#This Row],[Sabah_Voters_GE15]]+Table14[[#This Row],[OA_Voters_GE15]]</f>
        <v>735</v>
      </c>
      <c r="BO26" s="11">
        <f>Table14[[#This Row],[Base_Stock_GE15]]/Table14[[#This Row],[All_Voters_GE15]]</f>
        <v>0.49578269728777508</v>
      </c>
      <c r="BP26" s="14">
        <v>42531</v>
      </c>
      <c r="BQ26" s="10">
        <v>35615</v>
      </c>
      <c r="BR26" s="44">
        <v>24695</v>
      </c>
      <c r="BS26" s="10">
        <v>8241</v>
      </c>
      <c r="BT26" s="10">
        <v>63195</v>
      </c>
      <c r="BU26" s="10">
        <v>35601</v>
      </c>
      <c r="BV26" s="10">
        <v>16146</v>
      </c>
      <c r="BW26" s="10">
        <f t="shared" si="5"/>
        <v>71436</v>
      </c>
      <c r="BX26" s="10">
        <f t="shared" si="6"/>
        <v>51747</v>
      </c>
      <c r="BY26" s="14">
        <v>127979</v>
      </c>
      <c r="BZ26" s="14">
        <v>0</v>
      </c>
      <c r="CA26" s="14">
        <v>300</v>
      </c>
      <c r="CB26" s="14">
        <v>127679</v>
      </c>
      <c r="CC26" s="14">
        <v>125751</v>
      </c>
      <c r="CD26" s="14">
        <v>1354</v>
      </c>
      <c r="CE26" s="14">
        <v>73</v>
      </c>
      <c r="CF26" s="14">
        <v>8</v>
      </c>
      <c r="CG26" s="14">
        <v>93</v>
      </c>
      <c r="CH26" s="14">
        <v>41</v>
      </c>
      <c r="CI26" s="14">
        <v>659</v>
      </c>
      <c r="CJ26" s="14">
        <f t="shared" si="7"/>
        <v>801</v>
      </c>
      <c r="CK26" s="14">
        <v>62560</v>
      </c>
      <c r="CL26" s="14">
        <v>65419</v>
      </c>
      <c r="CM26" s="14">
        <v>69538</v>
      </c>
      <c r="CN26" s="11">
        <f t="shared" si="8"/>
        <v>0.54335476914181235</v>
      </c>
      <c r="CO26" s="14">
        <v>58441</v>
      </c>
      <c r="CP26" s="11">
        <f t="shared" si="9"/>
        <v>0.45664523085818765</v>
      </c>
      <c r="CQ26" s="29">
        <v>6937</v>
      </c>
      <c r="CR26" s="29">
        <v>63009</v>
      </c>
      <c r="CS26" s="29">
        <v>36532</v>
      </c>
      <c r="CT26" s="29">
        <v>16941</v>
      </c>
      <c r="CU26" s="45">
        <v>20979</v>
      </c>
      <c r="CV26" s="45">
        <v>8374</v>
      </c>
      <c r="CW26" s="45">
        <v>8819</v>
      </c>
      <c r="CX26" s="45">
        <v>2598</v>
      </c>
      <c r="CY26" s="45">
        <v>1188</v>
      </c>
      <c r="CZ26" s="45">
        <v>155</v>
      </c>
      <c r="DA26" s="45">
        <v>155</v>
      </c>
      <c r="DB26" s="45">
        <v>153</v>
      </c>
      <c r="DC26" s="45">
        <v>139</v>
      </c>
    </row>
    <row r="27" spans="1:107" x14ac:dyDescent="0.35">
      <c r="A27" s="1" t="s">
        <v>147</v>
      </c>
      <c r="B27" s="5" t="s">
        <v>0</v>
      </c>
      <c r="C27" s="3" t="s">
        <v>197</v>
      </c>
      <c r="D27" s="4" t="s">
        <v>198</v>
      </c>
      <c r="E27" s="5">
        <v>3</v>
      </c>
      <c r="F27" s="5">
        <v>29</v>
      </c>
      <c r="G27" s="2">
        <v>0.75116379967401881</v>
      </c>
      <c r="H27" s="2" t="s">
        <v>1276</v>
      </c>
      <c r="I27" s="9" t="s">
        <v>13</v>
      </c>
      <c r="J2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MEJ JEN DATO HJ KHLIR (B) </v>
      </c>
      <c r="K27" s="8">
        <v>17435</v>
      </c>
      <c r="L27" s="8" t="s">
        <v>8</v>
      </c>
      <c r="M27" s="7" t="s">
        <v>200</v>
      </c>
      <c r="N27" s="8">
        <v>4662</v>
      </c>
      <c r="O27" s="8" t="s">
        <v>23</v>
      </c>
      <c r="P27" s="7" t="s">
        <v>201</v>
      </c>
      <c r="Q27" s="8">
        <v>40542</v>
      </c>
      <c r="R27" s="8" t="s">
        <v>12</v>
      </c>
      <c r="S27" s="7" t="s">
        <v>199</v>
      </c>
      <c r="T27" s="10">
        <v>23107</v>
      </c>
      <c r="U27" s="10">
        <v>0</v>
      </c>
      <c r="V27" s="10">
        <v>0</v>
      </c>
      <c r="W27" s="10">
        <v>1</v>
      </c>
      <c r="X27" s="10">
        <v>44952</v>
      </c>
      <c r="Y27" s="12" t="s">
        <v>14</v>
      </c>
      <c r="Z27" s="12" t="s">
        <v>1277</v>
      </c>
      <c r="AA27" s="13" t="s">
        <v>202</v>
      </c>
      <c r="AB27" s="14">
        <v>4626</v>
      </c>
      <c r="AC27" s="15" t="s">
        <v>126</v>
      </c>
      <c r="AD27" s="16">
        <v>32791</v>
      </c>
      <c r="AE27" s="14">
        <v>25467</v>
      </c>
      <c r="AF27" s="14">
        <v>20841</v>
      </c>
      <c r="AG27" s="14">
        <v>6799</v>
      </c>
      <c r="AH27" s="14" t="s">
        <v>17</v>
      </c>
      <c r="AI27" s="15" t="s">
        <v>18</v>
      </c>
      <c r="AJ27" s="14">
        <v>1</v>
      </c>
      <c r="AK27" s="14">
        <v>0</v>
      </c>
      <c r="AL27" s="14">
        <v>0</v>
      </c>
      <c r="AM27" s="51">
        <v>65238</v>
      </c>
      <c r="AN27" s="51">
        <v>63057</v>
      </c>
      <c r="AO27" s="51">
        <v>1227</v>
      </c>
      <c r="AP27" s="51">
        <v>56</v>
      </c>
      <c r="AQ27" s="51">
        <v>296</v>
      </c>
      <c r="AR27" s="51">
        <v>188</v>
      </c>
      <c r="AS27" s="51">
        <v>376</v>
      </c>
      <c r="AT27" s="51">
        <v>38</v>
      </c>
      <c r="AU27" s="51">
        <v>32744</v>
      </c>
      <c r="AV27" s="51">
        <v>32494</v>
      </c>
      <c r="AW27" s="51">
        <v>31866</v>
      </c>
      <c r="AX27" s="51">
        <v>33372</v>
      </c>
      <c r="AY27" s="14">
        <v>24572.333333333332</v>
      </c>
      <c r="AZ27" s="14">
        <v>85281</v>
      </c>
      <c r="BA27" s="14">
        <v>5</v>
      </c>
      <c r="BB27" s="14">
        <v>3056</v>
      </c>
      <c r="BC27" s="14">
        <v>82220</v>
      </c>
      <c r="BD27" s="14">
        <v>82448</v>
      </c>
      <c r="BE27" s="11">
        <f>Table14[[#This Row],[Melayu_Voters_GE15]]/Table14[[#This Row],[All_Voters_GE15]]</f>
        <v>0.96678040829727607</v>
      </c>
      <c r="BF27" s="14">
        <v>1628</v>
      </c>
      <c r="BG27" s="11">
        <f>Table14[[#This Row],[Chinese_Voters_GE15]]/Table14[[#This Row],[All_Voters_GE15]]</f>
        <v>1.9089832436298824E-2</v>
      </c>
      <c r="BH27" s="14">
        <v>88</v>
      </c>
      <c r="BI27" s="11">
        <f>Table14[[#This Row],[India_Voters_GE15]]/Table14[[#This Row],[All_Voters_GE15]]</f>
        <v>1.0318828343945309E-3</v>
      </c>
      <c r="BJ27" s="14">
        <v>7</v>
      </c>
      <c r="BK27" s="14">
        <v>207</v>
      </c>
      <c r="BL27" s="14">
        <v>400</v>
      </c>
      <c r="BM27" s="14">
        <v>503</v>
      </c>
      <c r="BN27" s="14">
        <f>Table14[[#This Row],[Lain_Voters_GE15]]+Table14[[#This Row],[Swak_Voters_GE15]]+Table14[[#This Row],[Sabah_Voters_GE15]]+Table14[[#This Row],[OA_Voters_GE15]]</f>
        <v>1117</v>
      </c>
      <c r="BO27" s="11">
        <f>Table14[[#This Row],[Base_Stock_GE15]]/Table14[[#This Row],[All_Voters_GE15]]</f>
        <v>0.52710451331480634</v>
      </c>
      <c r="BP27" s="14">
        <v>30453</v>
      </c>
      <c r="BQ27" s="10">
        <v>24059</v>
      </c>
      <c r="BR27" s="44">
        <v>16392</v>
      </c>
      <c r="BS27" s="10">
        <v>5355</v>
      </c>
      <c r="BT27" s="10">
        <v>43664</v>
      </c>
      <c r="BU27" s="10">
        <v>24873</v>
      </c>
      <c r="BV27" s="10">
        <v>11389</v>
      </c>
      <c r="BW27" s="10">
        <f t="shared" si="5"/>
        <v>49019</v>
      </c>
      <c r="BX27" s="10">
        <f t="shared" si="6"/>
        <v>36262</v>
      </c>
      <c r="BY27" s="14">
        <v>88245</v>
      </c>
      <c r="BZ27" s="14">
        <v>0</v>
      </c>
      <c r="CA27" s="14">
        <v>2766</v>
      </c>
      <c r="CB27" s="14">
        <v>85479</v>
      </c>
      <c r="CC27" s="14">
        <v>85412</v>
      </c>
      <c r="CD27" s="14">
        <v>1646</v>
      </c>
      <c r="CE27" s="14">
        <v>85</v>
      </c>
      <c r="CF27" s="14">
        <v>10</v>
      </c>
      <c r="CG27" s="14">
        <v>191</v>
      </c>
      <c r="CH27" s="14">
        <v>375</v>
      </c>
      <c r="CI27" s="14">
        <v>526</v>
      </c>
      <c r="CJ27" s="14">
        <f t="shared" si="7"/>
        <v>1102</v>
      </c>
      <c r="CK27" s="14">
        <v>43938</v>
      </c>
      <c r="CL27" s="14">
        <v>44307</v>
      </c>
      <c r="CM27" s="14">
        <v>47313</v>
      </c>
      <c r="CN27" s="11">
        <f t="shared" si="8"/>
        <v>0.53615502294747575</v>
      </c>
      <c r="CO27" s="14">
        <v>40932</v>
      </c>
      <c r="CP27" s="11">
        <f t="shared" si="9"/>
        <v>0.4638449770525242</v>
      </c>
      <c r="CQ27" s="29">
        <v>4453</v>
      </c>
      <c r="CR27" s="29">
        <v>43504</v>
      </c>
      <c r="CS27" s="29">
        <v>25533</v>
      </c>
      <c r="CT27" s="29">
        <v>11987</v>
      </c>
      <c r="CU27" s="45">
        <v>14955</v>
      </c>
      <c r="CV27" s="45">
        <v>4780</v>
      </c>
      <c r="CW27" s="45">
        <v>6132</v>
      </c>
      <c r="CX27" s="45">
        <v>2542</v>
      </c>
      <c r="CY27" s="45">
        <v>1501</v>
      </c>
      <c r="CZ27" s="45">
        <v>129</v>
      </c>
      <c r="DA27" s="45">
        <v>127</v>
      </c>
      <c r="DB27" s="45">
        <v>123</v>
      </c>
      <c r="DC27" s="45">
        <v>113</v>
      </c>
    </row>
    <row r="28" spans="1:107" x14ac:dyDescent="0.35">
      <c r="A28" s="1" t="s">
        <v>147</v>
      </c>
      <c r="B28" s="5" t="s">
        <v>0</v>
      </c>
      <c r="C28" s="3" t="s">
        <v>203</v>
      </c>
      <c r="D28" s="4" t="s">
        <v>204</v>
      </c>
      <c r="E28" s="5">
        <v>3</v>
      </c>
      <c r="F28" s="5">
        <v>33</v>
      </c>
      <c r="G28" s="2">
        <v>0.71339920228381692</v>
      </c>
      <c r="H28" s="2" t="s">
        <v>1276</v>
      </c>
      <c r="I28" s="9" t="s">
        <v>13</v>
      </c>
      <c r="J2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SRI IKMAL HISHAM </v>
      </c>
      <c r="K28" s="8">
        <v>9781</v>
      </c>
      <c r="L28" s="8" t="s">
        <v>8</v>
      </c>
      <c r="M28" s="7" t="s">
        <v>206</v>
      </c>
      <c r="N28" s="8">
        <v>5357</v>
      </c>
      <c r="O28" s="8" t="s">
        <v>23</v>
      </c>
      <c r="P28" s="7" t="s">
        <v>207</v>
      </c>
      <c r="Q28" s="8">
        <v>54266</v>
      </c>
      <c r="R28" s="8" t="s">
        <v>12</v>
      </c>
      <c r="S28" s="7" t="s">
        <v>205</v>
      </c>
      <c r="T28" s="10">
        <v>44485</v>
      </c>
      <c r="U28" s="10">
        <v>0</v>
      </c>
      <c r="V28" s="10">
        <v>0</v>
      </c>
      <c r="W28" s="10">
        <v>1</v>
      </c>
      <c r="X28" s="10">
        <v>45431</v>
      </c>
      <c r="Y28" s="12" t="s">
        <v>14</v>
      </c>
      <c r="Z28" s="12" t="s">
        <v>1277</v>
      </c>
      <c r="AA28" s="13" t="s">
        <v>208</v>
      </c>
      <c r="AB28" s="14">
        <v>2929</v>
      </c>
      <c r="AC28" s="15" t="s">
        <v>209</v>
      </c>
      <c r="AD28" s="16">
        <v>35620</v>
      </c>
      <c r="AE28" s="14">
        <v>28152</v>
      </c>
      <c r="AF28" s="14">
        <v>25223</v>
      </c>
      <c r="AG28" s="14">
        <v>4747</v>
      </c>
      <c r="AH28" s="14" t="s">
        <v>17</v>
      </c>
      <c r="AI28" s="15" t="s">
        <v>29</v>
      </c>
      <c r="AJ28" s="14">
        <v>1</v>
      </c>
      <c r="AK28" s="14">
        <v>0</v>
      </c>
      <c r="AL28" s="14">
        <v>0</v>
      </c>
      <c r="AM28" s="51">
        <v>73172</v>
      </c>
      <c r="AN28" s="51">
        <v>69300</v>
      </c>
      <c r="AO28" s="51">
        <v>2866</v>
      </c>
      <c r="AP28" s="51">
        <v>453</v>
      </c>
      <c r="AQ28" s="51">
        <v>479</v>
      </c>
      <c r="AR28" s="51">
        <v>39</v>
      </c>
      <c r="AS28" s="51">
        <v>32</v>
      </c>
      <c r="AT28" s="51">
        <v>3</v>
      </c>
      <c r="AU28" s="51">
        <v>36033</v>
      </c>
      <c r="AV28" s="51">
        <v>37139</v>
      </c>
      <c r="AW28" s="51">
        <v>35749</v>
      </c>
      <c r="AX28" s="51">
        <v>37423</v>
      </c>
      <c r="AY28" s="14">
        <v>23542.333333333332</v>
      </c>
      <c r="AZ28" s="14">
        <v>98782</v>
      </c>
      <c r="BA28" s="14">
        <v>5</v>
      </c>
      <c r="BB28" s="14">
        <v>280</v>
      </c>
      <c r="BC28" s="14">
        <v>98497</v>
      </c>
      <c r="BD28" s="14">
        <v>93252</v>
      </c>
      <c r="BE28" s="11">
        <f>Table14[[#This Row],[Melayu_Voters_GE15]]/Table14[[#This Row],[All_Voters_GE15]]</f>
        <v>0.94401814095685443</v>
      </c>
      <c r="BF28" s="14">
        <v>4049</v>
      </c>
      <c r="BG28" s="11">
        <f>Table14[[#This Row],[Chinese_Voters_GE15]]/Table14[[#This Row],[All_Voters_GE15]]</f>
        <v>4.0989249053471281E-2</v>
      </c>
      <c r="BH28" s="14">
        <v>513</v>
      </c>
      <c r="BI28" s="11">
        <f>Table14[[#This Row],[India_Voters_GE15]]/Table14[[#This Row],[All_Voters_GE15]]</f>
        <v>5.1932538316697375E-3</v>
      </c>
      <c r="BJ28" s="14">
        <v>4</v>
      </c>
      <c r="BK28" s="14">
        <v>62</v>
      </c>
      <c r="BL28" s="14">
        <v>40</v>
      </c>
      <c r="BM28" s="14">
        <v>862</v>
      </c>
      <c r="BN28" s="14">
        <f>Table14[[#This Row],[Lain_Voters_GE15]]+Table14[[#This Row],[Swak_Voters_GE15]]+Table14[[#This Row],[Sabah_Voters_GE15]]+Table14[[#This Row],[OA_Voters_GE15]]</f>
        <v>968</v>
      </c>
      <c r="BO28" s="11">
        <f>Table14[[#This Row],[Base_Stock_GE15]]/Table14[[#This Row],[All_Voters_GE15]]</f>
        <v>0.45991172480816345</v>
      </c>
      <c r="BP28" s="14">
        <v>16700</v>
      </c>
      <c r="BQ28" s="10">
        <v>27952</v>
      </c>
      <c r="BR28" s="44">
        <v>18530</v>
      </c>
      <c r="BS28" s="10">
        <v>6155</v>
      </c>
      <c r="BT28" s="10">
        <v>49725</v>
      </c>
      <c r="BU28" s="10">
        <v>29172</v>
      </c>
      <c r="BV28" s="10">
        <v>13730</v>
      </c>
      <c r="BW28" s="10">
        <f t="shared" si="5"/>
        <v>55880</v>
      </c>
      <c r="BX28" s="10">
        <f t="shared" si="6"/>
        <v>42902</v>
      </c>
      <c r="BY28" s="14">
        <v>102351</v>
      </c>
      <c r="BZ28" s="14">
        <v>0</v>
      </c>
      <c r="CA28" s="14">
        <v>238</v>
      </c>
      <c r="CB28" s="14">
        <v>102113</v>
      </c>
      <c r="CC28" s="14">
        <v>96809</v>
      </c>
      <c r="CD28" s="14">
        <v>4079</v>
      </c>
      <c r="CE28" s="14">
        <v>471</v>
      </c>
      <c r="CF28" s="14">
        <v>5</v>
      </c>
      <c r="CG28" s="14">
        <v>74</v>
      </c>
      <c r="CH28" s="14">
        <v>42</v>
      </c>
      <c r="CI28" s="14">
        <v>871</v>
      </c>
      <c r="CJ28" s="14">
        <f t="shared" si="7"/>
        <v>992</v>
      </c>
      <c r="CK28" s="14">
        <v>50342</v>
      </c>
      <c r="CL28" s="14">
        <v>52009</v>
      </c>
      <c r="CM28" s="14">
        <v>53857</v>
      </c>
      <c r="CN28" s="11">
        <f t="shared" si="8"/>
        <v>0.52619906009711681</v>
      </c>
      <c r="CO28" s="14">
        <v>48494</v>
      </c>
      <c r="CP28" s="11">
        <f t="shared" si="9"/>
        <v>0.47380093990288319</v>
      </c>
      <c r="CQ28" s="29">
        <v>5025</v>
      </c>
      <c r="CR28" s="29">
        <v>49415</v>
      </c>
      <c r="CS28" s="29">
        <v>29865</v>
      </c>
      <c r="CT28" s="29">
        <v>14403</v>
      </c>
      <c r="CU28" s="45">
        <v>15481</v>
      </c>
      <c r="CV28" s="45">
        <v>5966</v>
      </c>
      <c r="CW28" s="45">
        <v>6846</v>
      </c>
      <c r="CX28" s="45">
        <v>1576</v>
      </c>
      <c r="CY28" s="45">
        <v>1093</v>
      </c>
      <c r="CZ28" s="45">
        <v>141</v>
      </c>
      <c r="DA28" s="45">
        <v>141</v>
      </c>
      <c r="DB28" s="45">
        <v>138</v>
      </c>
      <c r="DC28" s="45">
        <v>120</v>
      </c>
    </row>
    <row r="29" spans="1:107" x14ac:dyDescent="0.35">
      <c r="A29" s="1" t="s">
        <v>147</v>
      </c>
      <c r="B29" s="5" t="s">
        <v>0</v>
      </c>
      <c r="C29" s="3" t="s">
        <v>210</v>
      </c>
      <c r="D29" s="4" t="s">
        <v>211</v>
      </c>
      <c r="E29" s="5">
        <v>4</v>
      </c>
      <c r="F29" s="5">
        <v>48</v>
      </c>
      <c r="G29" s="2">
        <v>0.72897320244096575</v>
      </c>
      <c r="H29" s="2" t="s">
        <v>1276</v>
      </c>
      <c r="I29" s="9" t="s">
        <v>13</v>
      </c>
      <c r="J2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NIK ZAWAWI </v>
      </c>
      <c r="K29" s="8">
        <v>23828</v>
      </c>
      <c r="L29" s="8" t="s">
        <v>8</v>
      </c>
      <c r="M29" s="7" t="s">
        <v>213</v>
      </c>
      <c r="N29" s="8">
        <v>3864</v>
      </c>
      <c r="O29" s="8" t="s">
        <v>214</v>
      </c>
      <c r="P29" s="7" t="s">
        <v>215</v>
      </c>
      <c r="Q29" s="8">
        <v>52937</v>
      </c>
      <c r="R29" s="8" t="s">
        <v>12</v>
      </c>
      <c r="S29" s="7" t="s">
        <v>212</v>
      </c>
      <c r="T29" s="10">
        <v>29109</v>
      </c>
      <c r="U29" s="10">
        <v>0</v>
      </c>
      <c r="V29" s="10">
        <v>0</v>
      </c>
      <c r="W29" s="10">
        <v>1</v>
      </c>
      <c r="X29" s="10">
        <v>52043</v>
      </c>
      <c r="Y29" s="12" t="s">
        <v>95</v>
      </c>
      <c r="Z29" s="12" t="s">
        <v>1277</v>
      </c>
      <c r="AA29" s="13" t="s">
        <v>216</v>
      </c>
      <c r="AB29" s="14">
        <v>1360</v>
      </c>
      <c r="AC29" s="15" t="s">
        <v>28</v>
      </c>
      <c r="AD29" s="16">
        <v>40415</v>
      </c>
      <c r="AE29" s="14">
        <v>30947</v>
      </c>
      <c r="AF29" s="14">
        <v>32307</v>
      </c>
      <c r="AG29" s="14">
        <v>4896</v>
      </c>
      <c r="AH29" s="14" t="s">
        <v>17</v>
      </c>
      <c r="AI29" s="15" t="s">
        <v>18</v>
      </c>
      <c r="AJ29" s="14">
        <v>0</v>
      </c>
      <c r="AK29" s="14">
        <v>0</v>
      </c>
      <c r="AL29" s="14">
        <v>1</v>
      </c>
      <c r="AM29" s="51">
        <v>85411</v>
      </c>
      <c r="AN29" s="51">
        <v>83844</v>
      </c>
      <c r="AO29" s="51">
        <v>817</v>
      </c>
      <c r="AP29" s="51">
        <v>48</v>
      </c>
      <c r="AQ29" s="51">
        <v>642</v>
      </c>
      <c r="AR29" s="51">
        <v>28</v>
      </c>
      <c r="AS29" s="51">
        <v>29</v>
      </c>
      <c r="AT29" s="51">
        <v>3</v>
      </c>
      <c r="AU29" s="51">
        <v>41174</v>
      </c>
      <c r="AV29" s="51">
        <v>44237</v>
      </c>
      <c r="AW29" s="51">
        <v>40659</v>
      </c>
      <c r="AX29" s="51">
        <v>44752</v>
      </c>
      <c r="AY29" s="14">
        <v>29011.666666666668</v>
      </c>
      <c r="AZ29" s="14">
        <v>113070</v>
      </c>
      <c r="BA29" s="14">
        <v>7</v>
      </c>
      <c r="BB29" s="14">
        <v>262</v>
      </c>
      <c r="BC29" s="14">
        <v>112801</v>
      </c>
      <c r="BD29" s="14">
        <v>110876</v>
      </c>
      <c r="BE29" s="11">
        <f>Table14[[#This Row],[Melayu_Voters_GE15]]/Table14[[#This Row],[All_Voters_GE15]]</f>
        <v>0.98059609091713096</v>
      </c>
      <c r="BF29" s="14">
        <v>1002</v>
      </c>
      <c r="BG29" s="11">
        <f>Table14[[#This Row],[Chinese_Voters_GE15]]/Table14[[#This Row],[All_Voters_GE15]]</f>
        <v>8.8617670469620588E-3</v>
      </c>
      <c r="BH29" s="14">
        <v>58</v>
      </c>
      <c r="BI29" s="11">
        <f>Table14[[#This Row],[India_Voters_GE15]]/Table14[[#This Row],[All_Voters_GE15]]</f>
        <v>5.1295657557265406E-4</v>
      </c>
      <c r="BJ29" s="14">
        <v>4</v>
      </c>
      <c r="BK29" s="14">
        <v>58</v>
      </c>
      <c r="BL29" s="14">
        <v>38</v>
      </c>
      <c r="BM29" s="14">
        <v>1034</v>
      </c>
      <c r="BN29" s="14">
        <f>Table14[[#This Row],[Lain_Voters_GE15]]+Table14[[#This Row],[Swak_Voters_GE15]]+Table14[[#This Row],[Sabah_Voters_GE15]]+Table14[[#This Row],[OA_Voters_GE15]]</f>
        <v>1134</v>
      </c>
      <c r="BO29" s="11">
        <f>Table14[[#This Row],[Base_Stock_GE15]]/Table14[[#This Row],[All_Voters_GE15]]</f>
        <v>0.46027239762978683</v>
      </c>
      <c r="BP29" s="14">
        <v>30859</v>
      </c>
      <c r="BQ29" s="10">
        <v>32723</v>
      </c>
      <c r="BR29" s="44">
        <v>22137</v>
      </c>
      <c r="BS29" s="10">
        <v>7370</v>
      </c>
      <c r="BT29" s="10">
        <v>56798</v>
      </c>
      <c r="BU29" s="10">
        <v>33150</v>
      </c>
      <c r="BV29" s="10">
        <v>15752</v>
      </c>
      <c r="BW29" s="10">
        <f t="shared" si="5"/>
        <v>64168</v>
      </c>
      <c r="BX29" s="10">
        <f t="shared" si="6"/>
        <v>48902</v>
      </c>
      <c r="BY29" s="14">
        <v>115689</v>
      </c>
      <c r="BZ29" s="14">
        <v>0</v>
      </c>
      <c r="CA29" s="14">
        <v>221</v>
      </c>
      <c r="CB29" s="14">
        <v>115468</v>
      </c>
      <c r="CC29" s="14">
        <v>113464</v>
      </c>
      <c r="CD29" s="14">
        <v>967</v>
      </c>
      <c r="CE29" s="14">
        <v>68</v>
      </c>
      <c r="CF29" s="14">
        <v>9</v>
      </c>
      <c r="CG29" s="14">
        <v>75</v>
      </c>
      <c r="CH29" s="14">
        <v>40</v>
      </c>
      <c r="CI29" s="14">
        <v>1066</v>
      </c>
      <c r="CJ29" s="14">
        <f t="shared" si="7"/>
        <v>1190</v>
      </c>
      <c r="CK29" s="14">
        <v>56129</v>
      </c>
      <c r="CL29" s="14">
        <v>59560</v>
      </c>
      <c r="CM29" s="14">
        <v>62082</v>
      </c>
      <c r="CN29" s="11">
        <f t="shared" si="8"/>
        <v>0.53662837434846877</v>
      </c>
      <c r="CO29" s="14">
        <v>53607</v>
      </c>
      <c r="CP29" s="11">
        <f t="shared" si="9"/>
        <v>0.46337162565153128</v>
      </c>
      <c r="CQ29" s="29">
        <v>6175</v>
      </c>
      <c r="CR29" s="29">
        <v>56476</v>
      </c>
      <c r="CS29" s="29">
        <v>33759</v>
      </c>
      <c r="CT29" s="29">
        <v>16525</v>
      </c>
      <c r="CU29" s="45">
        <v>24659</v>
      </c>
      <c r="CV29" s="45">
        <v>9127</v>
      </c>
      <c r="CW29" s="45">
        <v>11005</v>
      </c>
      <c r="CX29" s="45">
        <v>2689</v>
      </c>
      <c r="CY29" s="45">
        <v>1838</v>
      </c>
      <c r="CZ29" s="45">
        <v>225</v>
      </c>
      <c r="DA29" s="45">
        <v>225</v>
      </c>
      <c r="DB29" s="45">
        <v>214</v>
      </c>
      <c r="DC29" s="45">
        <v>184</v>
      </c>
    </row>
    <row r="30" spans="1:107" x14ac:dyDescent="0.35">
      <c r="A30" s="1" t="s">
        <v>147</v>
      </c>
      <c r="B30" s="5" t="s">
        <v>0</v>
      </c>
      <c r="C30" s="3" t="s">
        <v>217</v>
      </c>
      <c r="D30" s="4" t="s">
        <v>218</v>
      </c>
      <c r="E30" s="5">
        <v>3</v>
      </c>
      <c r="F30" s="5">
        <v>36</v>
      </c>
      <c r="G30" s="2">
        <v>0.74330424992963695</v>
      </c>
      <c r="H30" s="2" t="s">
        <v>1276</v>
      </c>
      <c r="I30" s="9" t="s">
        <v>13</v>
      </c>
      <c r="J3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WAN AHMAD FAYHSAL </v>
      </c>
      <c r="K30" s="8">
        <v>25449</v>
      </c>
      <c r="L30" s="8" t="s">
        <v>8</v>
      </c>
      <c r="M30" s="7" t="s">
        <v>220</v>
      </c>
      <c r="N30" s="8">
        <v>3934</v>
      </c>
      <c r="O30" s="8" t="s">
        <v>23</v>
      </c>
      <c r="P30" s="7" t="s">
        <v>221</v>
      </c>
      <c r="Q30" s="8">
        <v>35603</v>
      </c>
      <c r="R30" s="8" t="s">
        <v>12</v>
      </c>
      <c r="S30" s="7" t="s">
        <v>219</v>
      </c>
      <c r="T30" s="10">
        <v>10154</v>
      </c>
      <c r="U30" s="10">
        <v>0</v>
      </c>
      <c r="V30" s="10">
        <v>0</v>
      </c>
      <c r="W30" s="10">
        <v>1</v>
      </c>
      <c r="X30" s="10">
        <v>47051</v>
      </c>
      <c r="Y30" s="12" t="s">
        <v>14</v>
      </c>
      <c r="Z30" s="12" t="s">
        <v>1277</v>
      </c>
      <c r="AA30" s="13" t="s">
        <v>222</v>
      </c>
      <c r="AB30" s="14">
        <v>2824</v>
      </c>
      <c r="AC30" s="15" t="s">
        <v>89</v>
      </c>
      <c r="AD30" s="16">
        <v>33035</v>
      </c>
      <c r="AE30" s="14">
        <v>26076</v>
      </c>
      <c r="AF30" s="14">
        <v>23252</v>
      </c>
      <c r="AG30" s="14">
        <v>5695</v>
      </c>
      <c r="AH30" s="14" t="s">
        <v>17</v>
      </c>
      <c r="AI30" s="15" t="s">
        <v>18</v>
      </c>
      <c r="AJ30" s="14">
        <v>1</v>
      </c>
      <c r="AK30" s="14">
        <v>0</v>
      </c>
      <c r="AL30" s="14">
        <v>0</v>
      </c>
      <c r="AM30" s="51">
        <v>68387</v>
      </c>
      <c r="AN30" s="51">
        <v>65961</v>
      </c>
      <c r="AO30" s="51">
        <v>2143</v>
      </c>
      <c r="AP30" s="51">
        <v>140</v>
      </c>
      <c r="AQ30" s="51">
        <v>84</v>
      </c>
      <c r="AR30" s="51">
        <v>30</v>
      </c>
      <c r="AS30" s="51">
        <v>26</v>
      </c>
      <c r="AT30" s="51">
        <v>3</v>
      </c>
      <c r="AU30" s="51">
        <v>33447</v>
      </c>
      <c r="AV30" s="51">
        <v>34940</v>
      </c>
      <c r="AW30" s="51">
        <v>32358</v>
      </c>
      <c r="AX30" s="51">
        <v>36029</v>
      </c>
      <c r="AY30" s="14">
        <v>23772.333333333332</v>
      </c>
      <c r="AZ30" s="14">
        <v>88825</v>
      </c>
      <c r="BA30" s="14">
        <v>8</v>
      </c>
      <c r="BB30" s="14">
        <v>268</v>
      </c>
      <c r="BC30" s="14">
        <v>88549</v>
      </c>
      <c r="BD30" s="14">
        <v>85619</v>
      </c>
      <c r="BE30" s="11">
        <f>Table14[[#This Row],[Melayu_Voters_GE15]]/Table14[[#This Row],[All_Voters_GE15]]</f>
        <v>0.96390655783844637</v>
      </c>
      <c r="BF30" s="14">
        <v>2725</v>
      </c>
      <c r="BG30" s="11">
        <f>Table14[[#This Row],[Chinese_Voters_GE15]]/Table14[[#This Row],[All_Voters_GE15]]</f>
        <v>3.0678300028145228E-2</v>
      </c>
      <c r="BH30" s="14">
        <v>160</v>
      </c>
      <c r="BI30" s="11">
        <f>Table14[[#This Row],[India_Voters_GE15]]/Table14[[#This Row],[All_Voters_GE15]]</f>
        <v>1.8012946805516464E-3</v>
      </c>
      <c r="BJ30" s="14">
        <v>4</v>
      </c>
      <c r="BK30" s="14">
        <v>47</v>
      </c>
      <c r="BL30" s="14">
        <v>42</v>
      </c>
      <c r="BM30" s="14">
        <v>228</v>
      </c>
      <c r="BN30" s="14">
        <f>Table14[[#This Row],[Lain_Voters_GE15]]+Table14[[#This Row],[Swak_Voters_GE15]]+Table14[[#This Row],[Sabah_Voters_GE15]]+Table14[[#This Row],[OA_Voters_GE15]]</f>
        <v>321</v>
      </c>
      <c r="BO30" s="11">
        <f>Table14[[#This Row],[Base_Stock_GE15]]/Table14[[#This Row],[All_Voters_GE15]]</f>
        <v>0.529704475091472</v>
      </c>
      <c r="BP30" s="14">
        <v>34017</v>
      </c>
      <c r="BQ30" s="10">
        <v>24142</v>
      </c>
      <c r="BR30" s="44">
        <v>16232</v>
      </c>
      <c r="BS30" s="10">
        <v>5279</v>
      </c>
      <c r="BT30" s="10">
        <v>43864</v>
      </c>
      <c r="BU30" s="10">
        <v>26544</v>
      </c>
      <c r="BV30" s="10">
        <v>13138</v>
      </c>
      <c r="BW30" s="10">
        <f t="shared" si="5"/>
        <v>49143</v>
      </c>
      <c r="BX30" s="10">
        <f t="shared" si="6"/>
        <v>39682</v>
      </c>
      <c r="BY30" s="14">
        <v>90232</v>
      </c>
      <c r="BZ30" s="14">
        <v>0</v>
      </c>
      <c r="CA30" s="14">
        <v>231</v>
      </c>
      <c r="CB30" s="14">
        <v>90001</v>
      </c>
      <c r="CC30" s="14">
        <v>87055</v>
      </c>
      <c r="CD30" s="14">
        <v>2654</v>
      </c>
      <c r="CE30" s="14">
        <v>166</v>
      </c>
      <c r="CF30" s="14">
        <v>4</v>
      </c>
      <c r="CG30" s="14">
        <v>56</v>
      </c>
      <c r="CH30" s="14">
        <v>48</v>
      </c>
      <c r="CI30" s="14">
        <v>249</v>
      </c>
      <c r="CJ30" s="14">
        <f t="shared" si="7"/>
        <v>357</v>
      </c>
      <c r="CK30" s="14">
        <v>44325</v>
      </c>
      <c r="CL30" s="14">
        <v>45907</v>
      </c>
      <c r="CM30" s="14">
        <v>47120</v>
      </c>
      <c r="CN30" s="11">
        <f t="shared" si="8"/>
        <v>0.52220941572834467</v>
      </c>
      <c r="CO30" s="14">
        <v>43112</v>
      </c>
      <c r="CP30" s="11">
        <f t="shared" si="9"/>
        <v>0.47779058427165527</v>
      </c>
      <c r="CQ30" s="29">
        <v>4426</v>
      </c>
      <c r="CR30" s="29">
        <v>43632</v>
      </c>
      <c r="CS30" s="29">
        <v>26901</v>
      </c>
      <c r="CT30" s="29">
        <v>13805</v>
      </c>
      <c r="CU30" s="45">
        <v>22275</v>
      </c>
      <c r="CV30" s="45">
        <v>7916</v>
      </c>
      <c r="CW30" s="45">
        <v>8370</v>
      </c>
      <c r="CX30" s="45">
        <v>3473</v>
      </c>
      <c r="CY30" s="45">
        <v>2516</v>
      </c>
      <c r="CZ30" s="45">
        <v>161</v>
      </c>
      <c r="DA30" s="45">
        <v>161</v>
      </c>
      <c r="DB30" s="45">
        <v>159</v>
      </c>
      <c r="DC30" s="45">
        <v>157</v>
      </c>
    </row>
    <row r="31" spans="1:107" x14ac:dyDescent="0.35">
      <c r="A31" s="1" t="s">
        <v>147</v>
      </c>
      <c r="B31" s="5" t="s">
        <v>0</v>
      </c>
      <c r="C31" s="3" t="s">
        <v>223</v>
      </c>
      <c r="D31" s="4" t="s">
        <v>224</v>
      </c>
      <c r="E31" s="5">
        <v>3</v>
      </c>
      <c r="F31" s="5">
        <v>28</v>
      </c>
      <c r="G31" s="2">
        <v>0.7313288069835111</v>
      </c>
      <c r="H31" s="2" t="s">
        <v>1276</v>
      </c>
      <c r="I31" s="9" t="s">
        <v>13</v>
      </c>
      <c r="J3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POK ZAHARI </v>
      </c>
      <c r="K31" s="8">
        <v>14608</v>
      </c>
      <c r="L31" s="8" t="s">
        <v>8</v>
      </c>
      <c r="M31" s="7" t="s">
        <v>226</v>
      </c>
      <c r="N31" s="8">
        <v>1140</v>
      </c>
      <c r="O31" s="8" t="s">
        <v>10</v>
      </c>
      <c r="P31" s="7" t="s">
        <v>227</v>
      </c>
      <c r="Q31" s="8">
        <v>27072</v>
      </c>
      <c r="R31" s="8" t="s">
        <v>12</v>
      </c>
      <c r="S31" s="7" t="s">
        <v>225</v>
      </c>
      <c r="T31" s="10">
        <v>12464</v>
      </c>
      <c r="U31" s="10">
        <v>0</v>
      </c>
      <c r="V31" s="10">
        <v>0</v>
      </c>
      <c r="W31" s="10">
        <v>1</v>
      </c>
      <c r="X31" s="10">
        <v>28413</v>
      </c>
      <c r="Y31" s="12" t="s">
        <v>14</v>
      </c>
      <c r="Z31" s="12" t="s">
        <v>1277</v>
      </c>
      <c r="AA31" s="13" t="s">
        <v>228</v>
      </c>
      <c r="AB31" s="14">
        <v>6647</v>
      </c>
      <c r="AC31" s="15" t="s">
        <v>229</v>
      </c>
      <c r="AD31" s="16">
        <v>23642</v>
      </c>
      <c r="AE31" s="14">
        <v>21665</v>
      </c>
      <c r="AF31" s="14">
        <v>15018</v>
      </c>
      <c r="AG31" s="14">
        <v>2078</v>
      </c>
      <c r="AH31" s="14" t="s">
        <v>17</v>
      </c>
      <c r="AI31" s="15" t="s">
        <v>18</v>
      </c>
      <c r="AJ31" s="14">
        <v>1</v>
      </c>
      <c r="AK31" s="14">
        <v>0</v>
      </c>
      <c r="AL31" s="14">
        <v>0</v>
      </c>
      <c r="AM31" s="51">
        <v>47470</v>
      </c>
      <c r="AN31" s="51">
        <v>46623</v>
      </c>
      <c r="AO31" s="51">
        <v>92</v>
      </c>
      <c r="AP31" s="51">
        <v>53</v>
      </c>
      <c r="AQ31" s="51">
        <v>123</v>
      </c>
      <c r="AR31" s="51">
        <v>155</v>
      </c>
      <c r="AS31" s="51">
        <v>159</v>
      </c>
      <c r="AT31" s="51">
        <v>265</v>
      </c>
      <c r="AU31" s="51">
        <v>24142</v>
      </c>
      <c r="AV31" s="51">
        <v>23328</v>
      </c>
      <c r="AW31" s="51">
        <v>23125</v>
      </c>
      <c r="AX31" s="51">
        <v>24345</v>
      </c>
      <c r="AY31" s="14">
        <v>20018.666666666668</v>
      </c>
      <c r="AZ31" s="14">
        <v>59798</v>
      </c>
      <c r="BA31" s="14">
        <v>1</v>
      </c>
      <c r="BB31" s="14">
        <v>1896</v>
      </c>
      <c r="BC31" s="14">
        <v>57901</v>
      </c>
      <c r="BD31" s="14">
        <v>58465</v>
      </c>
      <c r="BE31" s="11">
        <f>Table14[[#This Row],[Melayu_Voters_GE15]]/Table14[[#This Row],[All_Voters_GE15]]</f>
        <v>0.97770828455801195</v>
      </c>
      <c r="BF31" s="14">
        <v>105</v>
      </c>
      <c r="BG31" s="11">
        <f>Table14[[#This Row],[Chinese_Voters_GE15]]/Table14[[#This Row],[All_Voters_GE15]]</f>
        <v>1.7559115689487943E-3</v>
      </c>
      <c r="BH31" s="14">
        <v>66</v>
      </c>
      <c r="BI31" s="11">
        <f>Table14[[#This Row],[India_Voters_GE15]]/Table14[[#This Row],[All_Voters_GE15]]</f>
        <v>1.1037158433392421E-3</v>
      </c>
      <c r="BJ31" s="14">
        <v>472</v>
      </c>
      <c r="BK31" s="14">
        <v>226</v>
      </c>
      <c r="BL31" s="14">
        <v>148</v>
      </c>
      <c r="BM31" s="14">
        <v>316</v>
      </c>
      <c r="BN31" s="14">
        <f>Table14[[#This Row],[Lain_Voters_GE15]]+Table14[[#This Row],[Swak_Voters_GE15]]+Table14[[#This Row],[Sabah_Voters_GE15]]+Table14[[#This Row],[OA_Voters_GE15]]</f>
        <v>1162</v>
      </c>
      <c r="BO31" s="11">
        <f>Table14[[#This Row],[Base_Stock_GE15]]/Table14[[#This Row],[All_Voters_GE15]]</f>
        <v>0.47514967055754376</v>
      </c>
      <c r="BP31" s="14">
        <v>19843</v>
      </c>
      <c r="BQ31" s="10">
        <v>16160</v>
      </c>
      <c r="BR31" s="44">
        <v>11056</v>
      </c>
      <c r="BS31" s="10">
        <v>3574</v>
      </c>
      <c r="BT31" s="10">
        <v>30025</v>
      </c>
      <c r="BU31" s="10">
        <v>18089</v>
      </c>
      <c r="BV31" s="10">
        <v>8110</v>
      </c>
      <c r="BW31" s="10">
        <f t="shared" si="5"/>
        <v>33599</v>
      </c>
      <c r="BX31" s="10">
        <f t="shared" si="6"/>
        <v>26199</v>
      </c>
      <c r="BY31" s="14">
        <v>60479</v>
      </c>
      <c r="BZ31" s="14">
        <v>0</v>
      </c>
      <c r="CA31" s="14">
        <v>1534</v>
      </c>
      <c r="CB31" s="14">
        <v>58945</v>
      </c>
      <c r="CC31" s="14">
        <v>59344</v>
      </c>
      <c r="CD31" s="14">
        <v>91</v>
      </c>
      <c r="CE31" s="14">
        <v>55</v>
      </c>
      <c r="CF31" s="14">
        <v>444</v>
      </c>
      <c r="CG31" s="14">
        <v>80</v>
      </c>
      <c r="CH31" s="14">
        <v>110</v>
      </c>
      <c r="CI31" s="14">
        <v>355</v>
      </c>
      <c r="CJ31" s="14">
        <f t="shared" si="7"/>
        <v>989</v>
      </c>
      <c r="CK31" s="14">
        <v>30435</v>
      </c>
      <c r="CL31" s="14">
        <v>30044</v>
      </c>
      <c r="CM31" s="14">
        <v>32140</v>
      </c>
      <c r="CN31" s="11">
        <f t="shared" si="8"/>
        <v>0.53142413068999161</v>
      </c>
      <c r="CO31" s="14">
        <v>28339</v>
      </c>
      <c r="CP31" s="11">
        <f t="shared" si="9"/>
        <v>0.46857586931000844</v>
      </c>
      <c r="CQ31" s="29">
        <v>2941</v>
      </c>
      <c r="CR31" s="29">
        <v>29733</v>
      </c>
      <c r="CS31" s="29">
        <v>18331</v>
      </c>
      <c r="CT31" s="29">
        <v>8531</v>
      </c>
      <c r="CU31" s="45">
        <v>14302</v>
      </c>
      <c r="CV31" s="45">
        <v>4807</v>
      </c>
      <c r="CW31" s="45">
        <v>6274</v>
      </c>
      <c r="CX31" s="45">
        <v>1825</v>
      </c>
      <c r="CY31" s="45">
        <v>1396</v>
      </c>
      <c r="CZ31" s="45">
        <v>101</v>
      </c>
      <c r="DA31" s="45">
        <v>101</v>
      </c>
      <c r="DB31" s="45">
        <v>100</v>
      </c>
      <c r="DC31" s="45">
        <v>97</v>
      </c>
    </row>
    <row r="32" spans="1:107" x14ac:dyDescent="0.35">
      <c r="A32" s="1" t="s">
        <v>147</v>
      </c>
      <c r="B32" s="5" t="s">
        <v>0</v>
      </c>
      <c r="C32" s="3" t="s">
        <v>230</v>
      </c>
      <c r="D32" s="4" t="s">
        <v>231</v>
      </c>
      <c r="E32" s="5">
        <v>4</v>
      </c>
      <c r="F32" s="5">
        <v>44</v>
      </c>
      <c r="G32" s="2">
        <v>0.71136622082633882</v>
      </c>
      <c r="H32" s="2" t="s">
        <v>1276</v>
      </c>
      <c r="I32" s="9" t="s">
        <v>13</v>
      </c>
      <c r="J3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LATIFF </v>
      </c>
      <c r="K32" s="8">
        <v>17552</v>
      </c>
      <c r="L32" s="8" t="s">
        <v>8</v>
      </c>
      <c r="M32" s="7" t="s">
        <v>233</v>
      </c>
      <c r="N32" s="8">
        <v>4148</v>
      </c>
      <c r="O32" s="8" t="s">
        <v>10</v>
      </c>
      <c r="P32" s="7" t="s">
        <v>234</v>
      </c>
      <c r="Q32" s="8">
        <v>42740</v>
      </c>
      <c r="R32" s="8" t="s">
        <v>12</v>
      </c>
      <c r="S32" s="7" t="s">
        <v>232</v>
      </c>
      <c r="T32" s="10">
        <v>25188</v>
      </c>
      <c r="U32" s="10">
        <v>0</v>
      </c>
      <c r="V32" s="10">
        <v>0</v>
      </c>
      <c r="W32" s="10">
        <v>1</v>
      </c>
      <c r="X32" s="10">
        <v>42066</v>
      </c>
      <c r="Y32" s="12" t="s">
        <v>95</v>
      </c>
      <c r="Z32" s="12" t="s">
        <v>1277</v>
      </c>
      <c r="AA32" s="13" t="s">
        <v>235</v>
      </c>
      <c r="AB32" s="14">
        <v>7992</v>
      </c>
      <c r="AC32" s="15" t="s">
        <v>154</v>
      </c>
      <c r="AD32" s="16">
        <v>33812</v>
      </c>
      <c r="AE32" s="14">
        <v>20911</v>
      </c>
      <c r="AF32" s="14">
        <v>28903</v>
      </c>
      <c r="AG32" s="14">
        <v>5173</v>
      </c>
      <c r="AH32" s="14" t="s">
        <v>17</v>
      </c>
      <c r="AI32" s="15" t="s">
        <v>10</v>
      </c>
      <c r="AJ32" s="14">
        <v>0</v>
      </c>
      <c r="AK32" s="14">
        <v>0</v>
      </c>
      <c r="AL32" s="14">
        <v>1</v>
      </c>
      <c r="AM32" s="51">
        <v>70348</v>
      </c>
      <c r="AN32" s="51">
        <v>66507</v>
      </c>
      <c r="AO32" s="51">
        <v>2787</v>
      </c>
      <c r="AP32" s="51">
        <v>832</v>
      </c>
      <c r="AQ32" s="51">
        <v>151</v>
      </c>
      <c r="AR32" s="51">
        <v>43</v>
      </c>
      <c r="AS32" s="51">
        <v>23</v>
      </c>
      <c r="AT32" s="51">
        <v>5</v>
      </c>
      <c r="AU32" s="51">
        <v>35265</v>
      </c>
      <c r="AV32" s="51">
        <v>35083</v>
      </c>
      <c r="AW32" s="51">
        <v>34209</v>
      </c>
      <c r="AX32" s="51">
        <v>36139</v>
      </c>
      <c r="AY32" s="14">
        <v>21788.333333333332</v>
      </c>
      <c r="AZ32" s="14">
        <v>92335</v>
      </c>
      <c r="BA32" s="14">
        <v>1</v>
      </c>
      <c r="BB32" s="14">
        <v>280</v>
      </c>
      <c r="BC32" s="14">
        <v>92054</v>
      </c>
      <c r="BD32" s="14">
        <v>86911</v>
      </c>
      <c r="BE32" s="11">
        <f>Table14[[#This Row],[Melayu_Voters_GE15]]/Table14[[#This Row],[All_Voters_GE15]]</f>
        <v>0.94125737802566745</v>
      </c>
      <c r="BF32" s="14">
        <v>3783</v>
      </c>
      <c r="BG32" s="11">
        <f>Table14[[#This Row],[Chinese_Voters_GE15]]/Table14[[#This Row],[All_Voters_GE15]]</f>
        <v>4.0970379596036173E-2</v>
      </c>
      <c r="BH32" s="14">
        <v>1051</v>
      </c>
      <c r="BI32" s="11">
        <f>Table14[[#This Row],[India_Voters_GE15]]/Table14[[#This Row],[All_Voters_GE15]]</f>
        <v>1.1382466020468945E-2</v>
      </c>
      <c r="BJ32" s="14">
        <v>11</v>
      </c>
      <c r="BK32" s="14">
        <v>51</v>
      </c>
      <c r="BL32" s="14">
        <v>40</v>
      </c>
      <c r="BM32" s="14">
        <v>488</v>
      </c>
      <c r="BN32" s="14">
        <f>Table14[[#This Row],[Lain_Voters_GE15]]+Table14[[#This Row],[Swak_Voters_GE15]]+Table14[[#This Row],[Sabah_Voters_GE15]]+Table14[[#This Row],[OA_Voters_GE15]]</f>
        <v>590</v>
      </c>
      <c r="BO32" s="11">
        <f>Table14[[#This Row],[Base_Stock_GE15]]/Table14[[#This Row],[All_Voters_GE15]]</f>
        <v>0.45558022418367899</v>
      </c>
      <c r="BP32" s="14">
        <v>23912</v>
      </c>
      <c r="BQ32" s="10">
        <v>26337</v>
      </c>
      <c r="BR32" s="44">
        <v>17779</v>
      </c>
      <c r="BS32" s="10">
        <v>5866</v>
      </c>
      <c r="BT32" s="10">
        <v>47493</v>
      </c>
      <c r="BU32" s="10">
        <v>26526</v>
      </c>
      <c r="BV32" s="10">
        <v>12450</v>
      </c>
      <c r="BW32" s="10">
        <f t="shared" si="5"/>
        <v>53359</v>
      </c>
      <c r="BX32" s="10">
        <f t="shared" si="6"/>
        <v>38976</v>
      </c>
      <c r="BY32" s="14">
        <v>94385</v>
      </c>
      <c r="BZ32" s="14">
        <v>0</v>
      </c>
      <c r="CA32" s="14">
        <v>350</v>
      </c>
      <c r="CB32" s="14">
        <v>94035</v>
      </c>
      <c r="CC32" s="14">
        <v>88986</v>
      </c>
      <c r="CD32" s="14">
        <v>3703</v>
      </c>
      <c r="CE32" s="14">
        <v>979</v>
      </c>
      <c r="CF32" s="14">
        <v>14</v>
      </c>
      <c r="CG32" s="14">
        <v>70</v>
      </c>
      <c r="CH32" s="14">
        <v>48</v>
      </c>
      <c r="CI32" s="14">
        <v>585</v>
      </c>
      <c r="CJ32" s="14">
        <f t="shared" si="7"/>
        <v>717</v>
      </c>
      <c r="CK32" s="14">
        <v>47134</v>
      </c>
      <c r="CL32" s="14">
        <v>47251</v>
      </c>
      <c r="CM32" s="14">
        <v>51204</v>
      </c>
      <c r="CN32" s="11">
        <f t="shared" si="8"/>
        <v>0.54250145679927952</v>
      </c>
      <c r="CO32" s="14">
        <v>43181</v>
      </c>
      <c r="CP32" s="11">
        <f t="shared" si="9"/>
        <v>0.45749854320072048</v>
      </c>
      <c r="CQ32" s="29">
        <v>4889</v>
      </c>
      <c r="CR32" s="29">
        <v>47071</v>
      </c>
      <c r="CS32" s="29">
        <v>27116</v>
      </c>
      <c r="CT32" s="29">
        <v>12936</v>
      </c>
      <c r="CU32" s="45">
        <v>19359</v>
      </c>
      <c r="CV32" s="45">
        <v>7873</v>
      </c>
      <c r="CW32" s="45">
        <v>8721</v>
      </c>
      <c r="CX32" s="45">
        <v>1811</v>
      </c>
      <c r="CY32" s="45">
        <v>954</v>
      </c>
      <c r="CZ32" s="45">
        <v>195</v>
      </c>
      <c r="DA32" s="45">
        <v>193</v>
      </c>
      <c r="DB32" s="45">
        <v>176</v>
      </c>
      <c r="DC32" s="45">
        <v>141</v>
      </c>
    </row>
    <row r="33" spans="1:107" x14ac:dyDescent="0.35">
      <c r="A33" s="1" t="s">
        <v>147</v>
      </c>
      <c r="B33" s="5" t="s">
        <v>0</v>
      </c>
      <c r="C33" s="3" t="s">
        <v>236</v>
      </c>
      <c r="D33" s="4" t="s">
        <v>237</v>
      </c>
      <c r="E33" s="5">
        <v>3</v>
      </c>
      <c r="F33" s="5">
        <v>46</v>
      </c>
      <c r="G33" s="2">
        <v>0.70182480712841977</v>
      </c>
      <c r="H33" s="2" t="s">
        <v>1276</v>
      </c>
      <c r="I33" s="9" t="s">
        <v>13</v>
      </c>
      <c r="J3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MOHD AZIZI ABU NAIM </v>
      </c>
      <c r="K33" s="8">
        <v>21663</v>
      </c>
      <c r="L33" s="8" t="s">
        <v>8</v>
      </c>
      <c r="M33" s="7" t="s">
        <v>239</v>
      </c>
      <c r="N33" s="8">
        <v>4517</v>
      </c>
      <c r="O33" s="8" t="s">
        <v>23</v>
      </c>
      <c r="P33" s="7" t="s">
        <v>240</v>
      </c>
      <c r="Q33" s="8">
        <v>21826</v>
      </c>
      <c r="R33" s="8" t="s">
        <v>12</v>
      </c>
      <c r="S33" s="7" t="s">
        <v>238</v>
      </c>
      <c r="T33" s="10">
        <v>163</v>
      </c>
      <c r="U33" s="10">
        <v>0</v>
      </c>
      <c r="V33" s="10">
        <v>0</v>
      </c>
      <c r="W33" s="10">
        <v>1</v>
      </c>
      <c r="X33" s="10">
        <v>39482</v>
      </c>
      <c r="Y33" s="12" t="s">
        <v>14</v>
      </c>
      <c r="Z33" s="12" t="s">
        <v>1277</v>
      </c>
      <c r="AA33" s="13" t="s">
        <v>241</v>
      </c>
      <c r="AB33" s="14">
        <v>3913</v>
      </c>
      <c r="AC33" s="15" t="s">
        <v>242</v>
      </c>
      <c r="AD33" s="16">
        <v>29874</v>
      </c>
      <c r="AE33" s="14">
        <v>19426</v>
      </c>
      <c r="AF33" s="14">
        <v>15513</v>
      </c>
      <c r="AG33" s="14">
        <v>4997</v>
      </c>
      <c r="AH33" s="14" t="s">
        <v>17</v>
      </c>
      <c r="AI33" s="15" t="s">
        <v>18</v>
      </c>
      <c r="AJ33" s="14">
        <v>1</v>
      </c>
      <c r="AK33" s="14">
        <v>0</v>
      </c>
      <c r="AL33" s="14">
        <v>0</v>
      </c>
      <c r="AM33" s="51">
        <v>52524</v>
      </c>
      <c r="AN33" s="51">
        <v>43271</v>
      </c>
      <c r="AO33" s="51">
        <v>2931</v>
      </c>
      <c r="AP33" s="51">
        <v>282</v>
      </c>
      <c r="AQ33" s="51">
        <v>129</v>
      </c>
      <c r="AR33" s="51">
        <v>55</v>
      </c>
      <c r="AS33" s="51">
        <v>26</v>
      </c>
      <c r="AT33" s="51">
        <v>5830</v>
      </c>
      <c r="AU33" s="51">
        <v>26927</v>
      </c>
      <c r="AV33" s="51">
        <v>25597</v>
      </c>
      <c r="AW33" s="51">
        <v>29229</v>
      </c>
      <c r="AX33" s="51">
        <v>23295</v>
      </c>
      <c r="AY33" s="14">
        <v>18285.333333333332</v>
      </c>
      <c r="AZ33" s="14">
        <v>70254</v>
      </c>
      <c r="BA33" s="14">
        <v>4</v>
      </c>
      <c r="BB33" s="14">
        <v>257</v>
      </c>
      <c r="BC33" s="14">
        <v>69993</v>
      </c>
      <c r="BD33" s="14">
        <v>55127</v>
      </c>
      <c r="BE33" s="11">
        <f>Table14[[#This Row],[Melayu_Voters_GE15]]/Table14[[#This Row],[All_Voters_GE15]]</f>
        <v>0.78468129928544994</v>
      </c>
      <c r="BF33" s="14">
        <v>4066</v>
      </c>
      <c r="BG33" s="11">
        <f>Table14[[#This Row],[Chinese_Voters_GE15]]/Table14[[#This Row],[All_Voters_GE15]]</f>
        <v>5.7875708144731974E-2</v>
      </c>
      <c r="BH33" s="14">
        <v>337</v>
      </c>
      <c r="BI33" s="11">
        <f>Table14[[#This Row],[India_Voters_GE15]]/Table14[[#This Row],[All_Voters_GE15]]</f>
        <v>4.7968798929598315E-3</v>
      </c>
      <c r="BJ33" s="14">
        <v>10279</v>
      </c>
      <c r="BK33" s="14">
        <v>70</v>
      </c>
      <c r="BL33" s="14">
        <v>49</v>
      </c>
      <c r="BM33" s="14">
        <v>326</v>
      </c>
      <c r="BN33" s="14">
        <f>Table14[[#This Row],[Lain_Voters_GE15]]+Table14[[#This Row],[Swak_Voters_GE15]]+Table14[[#This Row],[Sabah_Voters_GE15]]+Table14[[#This Row],[OA_Voters_GE15]]</f>
        <v>10724</v>
      </c>
      <c r="BO33" s="11">
        <f>Table14[[#This Row],[Base_Stock_GE15]]/Table14[[#This Row],[All_Voters_GE15]]</f>
        <v>0.56198935291940677</v>
      </c>
      <c r="BP33" s="14">
        <v>24819</v>
      </c>
      <c r="BQ33" s="10">
        <v>19937</v>
      </c>
      <c r="BR33" s="44">
        <v>15333</v>
      </c>
      <c r="BS33" s="10">
        <v>5247</v>
      </c>
      <c r="BT33" s="10">
        <v>39525</v>
      </c>
      <c r="BU33" s="10">
        <v>17083</v>
      </c>
      <c r="BV33" s="10">
        <v>8399</v>
      </c>
      <c r="BW33" s="10">
        <f t="shared" si="5"/>
        <v>44772</v>
      </c>
      <c r="BX33" s="10">
        <f t="shared" si="6"/>
        <v>25482</v>
      </c>
      <c r="BY33" s="14">
        <v>74041</v>
      </c>
      <c r="BZ33" s="14">
        <v>0</v>
      </c>
      <c r="CA33" s="14">
        <v>246</v>
      </c>
      <c r="CB33" s="14">
        <v>73795</v>
      </c>
      <c r="CC33" s="14">
        <v>57835</v>
      </c>
      <c r="CD33" s="14">
        <v>4134</v>
      </c>
      <c r="CE33" s="14">
        <v>358</v>
      </c>
      <c r="CF33" s="14">
        <v>11206</v>
      </c>
      <c r="CG33" s="14">
        <v>88</v>
      </c>
      <c r="CH33" s="14">
        <v>61</v>
      </c>
      <c r="CI33" s="14">
        <v>359</v>
      </c>
      <c r="CJ33" s="14">
        <f t="shared" si="7"/>
        <v>11714</v>
      </c>
      <c r="CK33" s="14">
        <v>37564</v>
      </c>
      <c r="CL33" s="14">
        <v>36477</v>
      </c>
      <c r="CM33" s="14">
        <v>44321</v>
      </c>
      <c r="CN33" s="11">
        <f t="shared" si="8"/>
        <v>0.59860077524614741</v>
      </c>
      <c r="CO33" s="14">
        <v>29720</v>
      </c>
      <c r="CP33" s="11">
        <f t="shared" si="9"/>
        <v>0.40139922475385259</v>
      </c>
      <c r="CQ33" s="29">
        <v>4414</v>
      </c>
      <c r="CR33" s="29">
        <v>39784</v>
      </c>
      <c r="CS33" s="29">
        <v>17921</v>
      </c>
      <c r="CT33" s="29">
        <v>8731</v>
      </c>
      <c r="CU33" s="45">
        <v>19580</v>
      </c>
      <c r="CV33" s="45">
        <v>7344</v>
      </c>
      <c r="CW33" s="45">
        <v>8295</v>
      </c>
      <c r="CX33" s="45">
        <v>2203</v>
      </c>
      <c r="CY33" s="45">
        <v>1738</v>
      </c>
      <c r="CZ33" s="45">
        <v>154</v>
      </c>
      <c r="DA33" s="45">
        <v>153</v>
      </c>
      <c r="DB33" s="45">
        <v>123</v>
      </c>
      <c r="DC33" s="45">
        <v>98</v>
      </c>
    </row>
    <row r="34" spans="1:107" x14ac:dyDescent="0.35">
      <c r="A34" s="1" t="s">
        <v>243</v>
      </c>
      <c r="B34" s="5" t="s">
        <v>0</v>
      </c>
      <c r="C34" s="3" t="s">
        <v>244</v>
      </c>
      <c r="D34" s="4" t="s">
        <v>245</v>
      </c>
      <c r="E34" s="5">
        <v>4</v>
      </c>
      <c r="F34" s="5">
        <v>45</v>
      </c>
      <c r="G34" s="2">
        <v>0.77462606359158082</v>
      </c>
      <c r="H34" s="2" t="s">
        <v>1276</v>
      </c>
      <c r="I34" s="9" t="s">
        <v>13</v>
      </c>
      <c r="J3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ABE ZUL </v>
      </c>
      <c r="K34" s="8">
        <v>30903</v>
      </c>
      <c r="L34" s="8" t="s">
        <v>8</v>
      </c>
      <c r="M34" s="7" t="s">
        <v>247</v>
      </c>
      <c r="N34" s="8">
        <v>4339</v>
      </c>
      <c r="O34" s="8" t="s">
        <v>10</v>
      </c>
      <c r="P34" s="7" t="s">
        <v>248</v>
      </c>
      <c r="Q34" s="8">
        <v>49569</v>
      </c>
      <c r="R34" s="8" t="s">
        <v>12</v>
      </c>
      <c r="S34" s="7" t="s">
        <v>246</v>
      </c>
      <c r="T34" s="10">
        <v>18666</v>
      </c>
      <c r="U34" s="10">
        <v>0</v>
      </c>
      <c r="V34" s="10">
        <v>0</v>
      </c>
      <c r="W34" s="10">
        <v>1</v>
      </c>
      <c r="X34" s="10">
        <v>58173</v>
      </c>
      <c r="Y34" s="12" t="s">
        <v>14</v>
      </c>
      <c r="Z34" s="12" t="s">
        <v>1277</v>
      </c>
      <c r="AA34" s="13" t="s">
        <v>249</v>
      </c>
      <c r="AB34" s="14">
        <v>4599</v>
      </c>
      <c r="AC34" s="15" t="s">
        <v>229</v>
      </c>
      <c r="AD34" s="16">
        <v>49496</v>
      </c>
      <c r="AE34" s="14">
        <v>34335</v>
      </c>
      <c r="AF34" s="14">
        <v>29736</v>
      </c>
      <c r="AG34" s="14">
        <v>6864</v>
      </c>
      <c r="AH34" s="14" t="s">
        <v>17</v>
      </c>
      <c r="AI34" s="15" t="s">
        <v>18</v>
      </c>
      <c r="AJ34" s="14">
        <v>1</v>
      </c>
      <c r="AK34" s="14">
        <v>0</v>
      </c>
      <c r="AL34" s="14">
        <v>0</v>
      </c>
      <c r="AM34" s="51">
        <v>86627</v>
      </c>
      <c r="AN34" s="51">
        <v>84987</v>
      </c>
      <c r="AO34" s="51">
        <v>1220</v>
      </c>
      <c r="AP34" s="51">
        <v>90</v>
      </c>
      <c r="AQ34" s="51">
        <v>214</v>
      </c>
      <c r="AR34" s="51">
        <v>52</v>
      </c>
      <c r="AS34" s="51">
        <v>54</v>
      </c>
      <c r="AT34" s="51">
        <v>10</v>
      </c>
      <c r="AU34" s="51">
        <v>43020</v>
      </c>
      <c r="AV34" s="51">
        <v>43607</v>
      </c>
      <c r="AW34" s="51">
        <v>45134</v>
      </c>
      <c r="AX34" s="51">
        <v>41493</v>
      </c>
      <c r="AY34" s="14">
        <v>32981</v>
      </c>
      <c r="AZ34" s="14">
        <v>111650</v>
      </c>
      <c r="BA34" s="14">
        <v>7</v>
      </c>
      <c r="BB34" s="14">
        <v>1752</v>
      </c>
      <c r="BC34" s="14">
        <v>109891</v>
      </c>
      <c r="BD34" s="14">
        <v>109404</v>
      </c>
      <c r="BE34" s="11">
        <f>Table14[[#This Row],[Melayu_Voters_GE15]]/Table14[[#This Row],[All_Voters_GE15]]</f>
        <v>0.9798835647111509</v>
      </c>
      <c r="BF34" s="14">
        <v>1449</v>
      </c>
      <c r="BG34" s="11">
        <f>Table14[[#This Row],[Chinese_Voters_GE15]]/Table14[[#This Row],[All_Voters_GE15]]</f>
        <v>1.2978056426332289E-2</v>
      </c>
      <c r="BH34" s="14">
        <v>134</v>
      </c>
      <c r="BI34" s="11">
        <f>Table14[[#This Row],[India_Voters_GE15]]/Table14[[#This Row],[All_Voters_GE15]]</f>
        <v>1.200179131213614E-3</v>
      </c>
      <c r="BJ34" s="14">
        <v>23</v>
      </c>
      <c r="BK34" s="14">
        <v>104</v>
      </c>
      <c r="BL34" s="14">
        <v>69</v>
      </c>
      <c r="BM34" s="14">
        <v>467</v>
      </c>
      <c r="BN34" s="14">
        <f>Table14[[#This Row],[Lain_Voters_GE15]]+Table14[[#This Row],[Swak_Voters_GE15]]+Table14[[#This Row],[Sabah_Voters_GE15]]+Table14[[#This Row],[OA_Voters_GE15]]</f>
        <v>663</v>
      </c>
      <c r="BO34" s="11">
        <f>Table14[[#This Row],[Base_Stock_GE15]]/Table14[[#This Row],[All_Voters_GE15]]</f>
        <v>0.5210300044782803</v>
      </c>
      <c r="BP34" s="14">
        <v>42520</v>
      </c>
      <c r="BQ34" s="10">
        <v>28664</v>
      </c>
      <c r="BR34" s="44">
        <v>22571</v>
      </c>
      <c r="BS34" s="10">
        <v>7430</v>
      </c>
      <c r="BT34" s="10">
        <v>59383</v>
      </c>
      <c r="BU34" s="10">
        <v>31510</v>
      </c>
      <c r="BV34" s="10">
        <v>13327</v>
      </c>
      <c r="BW34" s="10">
        <f t="shared" si="5"/>
        <v>66813</v>
      </c>
      <c r="BX34" s="10">
        <f t="shared" si="6"/>
        <v>44837</v>
      </c>
      <c r="BY34" s="14">
        <v>117254</v>
      </c>
      <c r="BZ34" s="14">
        <v>0</v>
      </c>
      <c r="CA34" s="14">
        <v>1612</v>
      </c>
      <c r="CB34" s="14">
        <v>115642</v>
      </c>
      <c r="CC34" s="14">
        <v>115021</v>
      </c>
      <c r="CD34" s="14">
        <v>1408</v>
      </c>
      <c r="CE34" s="14">
        <v>126</v>
      </c>
      <c r="CF34" s="14">
        <v>20</v>
      </c>
      <c r="CG34" s="14">
        <v>101</v>
      </c>
      <c r="CH34" s="14">
        <v>64</v>
      </c>
      <c r="CI34" s="14">
        <v>514</v>
      </c>
      <c r="CJ34" s="14">
        <f t="shared" si="7"/>
        <v>699</v>
      </c>
      <c r="CK34" s="14">
        <v>58352</v>
      </c>
      <c r="CL34" s="14">
        <v>58902</v>
      </c>
      <c r="CM34" s="14">
        <v>65445</v>
      </c>
      <c r="CN34" s="11">
        <f t="shared" si="8"/>
        <v>0.55814727002916742</v>
      </c>
      <c r="CO34" s="14">
        <v>51809</v>
      </c>
      <c r="CP34" s="11">
        <f t="shared" si="9"/>
        <v>0.44185272997083253</v>
      </c>
      <c r="CQ34" s="29">
        <v>7173</v>
      </c>
      <c r="CR34" s="29">
        <v>59583</v>
      </c>
      <c r="CS34" s="29">
        <v>33555</v>
      </c>
      <c r="CT34" s="29">
        <v>14321</v>
      </c>
      <c r="CU34" s="45">
        <v>30117</v>
      </c>
      <c r="CV34" s="45">
        <v>9226</v>
      </c>
      <c r="CW34" s="45">
        <v>11555</v>
      </c>
      <c r="CX34" s="45">
        <v>5322</v>
      </c>
      <c r="CY34" s="45">
        <v>4014</v>
      </c>
      <c r="CZ34" s="45">
        <v>160</v>
      </c>
      <c r="DA34" s="45">
        <v>160</v>
      </c>
      <c r="DB34" s="45">
        <v>160</v>
      </c>
      <c r="DC34" s="45">
        <v>158</v>
      </c>
    </row>
    <row r="35" spans="1:107" x14ac:dyDescent="0.35">
      <c r="A35" s="1" t="s">
        <v>243</v>
      </c>
      <c r="B35" s="5" t="s">
        <v>0</v>
      </c>
      <c r="C35" s="3" t="s">
        <v>250</v>
      </c>
      <c r="D35" s="4" t="s">
        <v>251</v>
      </c>
      <c r="E35" s="5">
        <v>4</v>
      </c>
      <c r="F35" s="5">
        <v>49</v>
      </c>
      <c r="G35" s="2">
        <v>0.80180625198053945</v>
      </c>
      <c r="H35" s="2" t="s">
        <v>1276</v>
      </c>
      <c r="I35" s="9" t="s">
        <v>13</v>
      </c>
      <c r="J3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ZUKIRNAIN ABD KADIR </v>
      </c>
      <c r="K35" s="8">
        <v>31736</v>
      </c>
      <c r="L35" s="8" t="s">
        <v>8</v>
      </c>
      <c r="M35" s="7" t="s">
        <v>253</v>
      </c>
      <c r="N35" s="8">
        <v>2125</v>
      </c>
      <c r="O35" s="8" t="s">
        <v>23</v>
      </c>
      <c r="P35" s="7" t="s">
        <v>254</v>
      </c>
      <c r="Q35" s="8">
        <v>50768</v>
      </c>
      <c r="R35" s="8" t="s">
        <v>12</v>
      </c>
      <c r="S35" s="7" t="s">
        <v>252</v>
      </c>
      <c r="T35" s="10">
        <v>19032</v>
      </c>
      <c r="U35" s="10">
        <v>0</v>
      </c>
      <c r="V35" s="10">
        <v>0</v>
      </c>
      <c r="W35" s="10">
        <v>1</v>
      </c>
      <c r="X35" s="10">
        <v>53927</v>
      </c>
      <c r="Y35" s="12" t="s">
        <v>95</v>
      </c>
      <c r="Z35" s="12" t="s">
        <v>1277</v>
      </c>
      <c r="AA35" s="13" t="s">
        <v>255</v>
      </c>
      <c r="AB35" s="14">
        <v>2802</v>
      </c>
      <c r="AC35" s="15" t="s">
        <v>256</v>
      </c>
      <c r="AD35" s="16">
        <v>48221</v>
      </c>
      <c r="AE35" s="14">
        <v>32218</v>
      </c>
      <c r="AF35" s="14">
        <v>35020</v>
      </c>
      <c r="AG35" s="14">
        <v>4740</v>
      </c>
      <c r="AH35" s="14" t="s">
        <v>17</v>
      </c>
      <c r="AI35" s="15" t="s">
        <v>18</v>
      </c>
      <c r="AJ35" s="14">
        <v>0</v>
      </c>
      <c r="AK35" s="14">
        <v>0</v>
      </c>
      <c r="AL35" s="14">
        <v>1</v>
      </c>
      <c r="AM35" s="51">
        <v>86247</v>
      </c>
      <c r="AN35" s="51">
        <v>85734</v>
      </c>
      <c r="AO35" s="51">
        <v>282</v>
      </c>
      <c r="AP35" s="51">
        <v>31</v>
      </c>
      <c r="AQ35" s="51">
        <v>117</v>
      </c>
      <c r="AR35" s="51">
        <v>55</v>
      </c>
      <c r="AS35" s="51">
        <v>25</v>
      </c>
      <c r="AT35" s="51">
        <v>3</v>
      </c>
      <c r="AU35" s="51">
        <v>42971</v>
      </c>
      <c r="AV35" s="51">
        <v>43276</v>
      </c>
      <c r="AW35" s="51">
        <v>45591</v>
      </c>
      <c r="AX35" s="51">
        <v>40656</v>
      </c>
      <c r="AY35" s="14">
        <v>30675.333333333332</v>
      </c>
      <c r="AZ35" s="14">
        <v>107294</v>
      </c>
      <c r="BA35" s="14">
        <v>2</v>
      </c>
      <c r="BB35" s="14">
        <v>316</v>
      </c>
      <c r="BC35" s="14">
        <v>106976</v>
      </c>
      <c r="BD35" s="14">
        <v>106475</v>
      </c>
      <c r="BE35" s="11">
        <f>Table14[[#This Row],[Melayu_Voters_GE15]]/Table14[[#This Row],[All_Voters_GE15]]</f>
        <v>0.99236676794601753</v>
      </c>
      <c r="BF35" s="14">
        <v>295</v>
      </c>
      <c r="BG35" s="11">
        <f>Table14[[#This Row],[Chinese_Voters_GE15]]/Table14[[#This Row],[All_Voters_GE15]]</f>
        <v>2.7494547691390013E-3</v>
      </c>
      <c r="BH35" s="14">
        <v>44</v>
      </c>
      <c r="BI35" s="11">
        <f>Table14[[#This Row],[India_Voters_GE15]]/Table14[[#This Row],[All_Voters_GE15]]</f>
        <v>4.1008816895632562E-4</v>
      </c>
      <c r="BJ35" s="14">
        <v>8</v>
      </c>
      <c r="BK35" s="14">
        <v>99</v>
      </c>
      <c r="BL35" s="14">
        <v>58</v>
      </c>
      <c r="BM35" s="14">
        <v>315</v>
      </c>
      <c r="BN35" s="14">
        <f>Table14[[#This Row],[Lain_Voters_GE15]]+Table14[[#This Row],[Swak_Voters_GE15]]+Table14[[#This Row],[Sabah_Voters_GE15]]+Table14[[#This Row],[OA_Voters_GE15]]</f>
        <v>480</v>
      </c>
      <c r="BO35" s="11">
        <f>Table14[[#This Row],[Base_Stock_GE15]]/Table14[[#This Row],[All_Voters_GE15]]</f>
        <v>0.50260965198426755</v>
      </c>
      <c r="BP35" s="14">
        <v>23562</v>
      </c>
      <c r="BQ35" s="10">
        <v>25007</v>
      </c>
      <c r="BR35" s="44">
        <v>21006</v>
      </c>
      <c r="BS35" s="10">
        <v>6806</v>
      </c>
      <c r="BT35" s="10">
        <v>57016</v>
      </c>
      <c r="BU35" s="10">
        <v>30831</v>
      </c>
      <c r="BV35" s="10">
        <v>12641</v>
      </c>
      <c r="BW35" s="10">
        <f t="shared" ref="BW35:BW48" si="10">BS35+BT35</f>
        <v>63822</v>
      </c>
      <c r="BX35" s="10">
        <f t="shared" ref="BX35:BX48" si="11">BU35+BV35</f>
        <v>43472</v>
      </c>
      <c r="BY35" s="14">
        <v>112657</v>
      </c>
      <c r="BZ35" s="14">
        <v>0</v>
      </c>
      <c r="CA35" s="14">
        <v>270</v>
      </c>
      <c r="CB35" s="14">
        <v>112387</v>
      </c>
      <c r="CC35" s="14">
        <v>111808</v>
      </c>
      <c r="CD35" s="14">
        <v>292</v>
      </c>
      <c r="CE35" s="14">
        <v>44</v>
      </c>
      <c r="CF35" s="14">
        <v>9</v>
      </c>
      <c r="CG35" s="14">
        <v>107</v>
      </c>
      <c r="CH35" s="14">
        <v>60</v>
      </c>
      <c r="CI35" s="14">
        <v>337</v>
      </c>
      <c r="CJ35" s="14">
        <f t="shared" ref="CJ35:CJ48" si="12">SUM(CF35:CI35)</f>
        <v>513</v>
      </c>
      <c r="CK35" s="14">
        <v>55889</v>
      </c>
      <c r="CL35" s="14">
        <v>56768</v>
      </c>
      <c r="CM35" s="14">
        <v>61971</v>
      </c>
      <c r="CN35" s="11">
        <f t="shared" ref="CN35:CN48" si="13">CM35/$BY35</f>
        <v>0.55008565823694933</v>
      </c>
      <c r="CO35" s="14">
        <v>50686</v>
      </c>
      <c r="CP35" s="11">
        <f t="shared" ref="CP35:CP48" si="14">CO35/$BY35</f>
        <v>0.44991434176305067</v>
      </c>
      <c r="CQ35" s="29">
        <v>6723</v>
      </c>
      <c r="CR35" s="29">
        <v>56872</v>
      </c>
      <c r="CS35" s="29">
        <v>33072</v>
      </c>
      <c r="CT35" s="29">
        <v>13609</v>
      </c>
      <c r="CU35" s="45">
        <v>28419</v>
      </c>
      <c r="CV35" s="45">
        <v>8887</v>
      </c>
      <c r="CW35" s="45">
        <v>11614</v>
      </c>
      <c r="CX35" s="45">
        <v>4507</v>
      </c>
      <c r="CY35" s="45">
        <v>3411</v>
      </c>
      <c r="CZ35" s="45">
        <v>168</v>
      </c>
      <c r="DA35" s="45">
        <v>167</v>
      </c>
      <c r="DB35" s="45">
        <v>166</v>
      </c>
      <c r="DC35" s="45">
        <v>166</v>
      </c>
    </row>
    <row r="36" spans="1:107" x14ac:dyDescent="0.35">
      <c r="A36" s="1" t="s">
        <v>243</v>
      </c>
      <c r="B36" s="5" t="s">
        <v>0</v>
      </c>
      <c r="C36" s="3" t="s">
        <v>257</v>
      </c>
      <c r="D36" s="4" t="s">
        <v>258</v>
      </c>
      <c r="E36" s="5">
        <v>4</v>
      </c>
      <c r="F36" s="5">
        <v>37</v>
      </c>
      <c r="G36" s="2">
        <v>0.83562367864693443</v>
      </c>
      <c r="H36" s="2" t="s">
        <v>1276</v>
      </c>
      <c r="I36" s="9" t="s">
        <v>13</v>
      </c>
      <c r="J3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DR. HJ ALIAS RAZAK </v>
      </c>
      <c r="K36" s="8">
        <v>26932</v>
      </c>
      <c r="L36" s="8" t="s">
        <v>8</v>
      </c>
      <c r="M36" s="7" t="s">
        <v>260</v>
      </c>
      <c r="N36" s="8">
        <v>3708</v>
      </c>
      <c r="O36" s="8" t="s">
        <v>10</v>
      </c>
      <c r="P36" s="7" t="s">
        <v>261</v>
      </c>
      <c r="Q36" s="8">
        <v>56697</v>
      </c>
      <c r="R36" s="8" t="s">
        <v>12</v>
      </c>
      <c r="S36" s="7" t="s">
        <v>259</v>
      </c>
      <c r="T36" s="10">
        <v>29765</v>
      </c>
      <c r="U36" s="10">
        <v>0</v>
      </c>
      <c r="V36" s="10">
        <v>0</v>
      </c>
      <c r="W36" s="10">
        <v>1</v>
      </c>
      <c r="X36" s="10">
        <v>49672</v>
      </c>
      <c r="Y36" s="12" t="s">
        <v>95</v>
      </c>
      <c r="Z36" s="12" t="s">
        <v>1277</v>
      </c>
      <c r="AA36" s="13" t="s">
        <v>262</v>
      </c>
      <c r="AB36" s="14">
        <v>8447</v>
      </c>
      <c r="AC36" s="15" t="s">
        <v>263</v>
      </c>
      <c r="AD36" s="16">
        <v>40308</v>
      </c>
      <c r="AE36" s="14">
        <v>29527</v>
      </c>
      <c r="AF36" s="14">
        <v>37974</v>
      </c>
      <c r="AG36" s="14">
        <v>4604</v>
      </c>
      <c r="AH36" s="14" t="s">
        <v>17</v>
      </c>
      <c r="AI36" s="15" t="s">
        <v>10</v>
      </c>
      <c r="AJ36" s="14">
        <v>0</v>
      </c>
      <c r="AK36" s="14">
        <v>0</v>
      </c>
      <c r="AL36" s="14">
        <v>1</v>
      </c>
      <c r="AM36" s="51">
        <v>83663</v>
      </c>
      <c r="AN36" s="51">
        <v>82575</v>
      </c>
      <c r="AO36" s="51">
        <v>793</v>
      </c>
      <c r="AP36" s="51">
        <v>78</v>
      </c>
      <c r="AQ36" s="51">
        <v>110</v>
      </c>
      <c r="AR36" s="51">
        <v>58</v>
      </c>
      <c r="AS36" s="51">
        <v>48</v>
      </c>
      <c r="AT36" s="51">
        <v>1</v>
      </c>
      <c r="AU36" s="51">
        <v>41731</v>
      </c>
      <c r="AV36" s="51">
        <v>41932</v>
      </c>
      <c r="AW36" s="51">
        <v>45334</v>
      </c>
      <c r="AX36" s="51">
        <v>38329</v>
      </c>
      <c r="AY36" s="14">
        <v>29739</v>
      </c>
      <c r="AZ36" s="14">
        <v>105952</v>
      </c>
      <c r="BA36" s="14">
        <v>10</v>
      </c>
      <c r="BB36" s="14">
        <v>1597</v>
      </c>
      <c r="BC36" s="14">
        <v>104345</v>
      </c>
      <c r="BD36" s="14">
        <v>104237</v>
      </c>
      <c r="BE36" s="11">
        <f>Table14[[#This Row],[Melayu_Voters_GE15]]/Table14[[#This Row],[All_Voters_GE15]]</f>
        <v>0.98381342494714585</v>
      </c>
      <c r="BF36" s="14">
        <v>1109</v>
      </c>
      <c r="BG36" s="11">
        <f>Table14[[#This Row],[Chinese_Voters_GE15]]/Table14[[#This Row],[All_Voters_GE15]]</f>
        <v>1.0467003926306251E-2</v>
      </c>
      <c r="BH36" s="14">
        <v>113</v>
      </c>
      <c r="BI36" s="11">
        <f>Table14[[#This Row],[India_Voters_GE15]]/Table14[[#This Row],[All_Voters_GE15]]</f>
        <v>1.0665206886137119E-3</v>
      </c>
      <c r="BJ36" s="14">
        <v>7</v>
      </c>
      <c r="BK36" s="14">
        <v>107</v>
      </c>
      <c r="BL36" s="14">
        <v>65</v>
      </c>
      <c r="BM36" s="14">
        <v>314</v>
      </c>
      <c r="BN36" s="14">
        <f>Table14[[#This Row],[Lain_Voters_GE15]]+Table14[[#This Row],[Swak_Voters_GE15]]+Table14[[#This Row],[Sabah_Voters_GE15]]+Table14[[#This Row],[OA_Voters_GE15]]</f>
        <v>493</v>
      </c>
      <c r="BO36" s="11">
        <f>Table14[[#This Row],[Base_Stock_GE15]]/Table14[[#This Row],[All_Voters_GE15]]</f>
        <v>0.46881606765327694</v>
      </c>
      <c r="BP36" s="14">
        <v>17047</v>
      </c>
      <c r="BQ36" s="10">
        <v>25164</v>
      </c>
      <c r="BR36" s="44">
        <v>21488</v>
      </c>
      <c r="BS36" s="10">
        <v>7033</v>
      </c>
      <c r="BT36" s="10">
        <v>57148</v>
      </c>
      <c r="BU36" s="10">
        <v>29482</v>
      </c>
      <c r="BV36" s="10">
        <v>12289</v>
      </c>
      <c r="BW36" s="10">
        <f t="shared" si="10"/>
        <v>64181</v>
      </c>
      <c r="BX36" s="10">
        <f t="shared" si="11"/>
        <v>41771</v>
      </c>
      <c r="BY36" s="14">
        <v>111614</v>
      </c>
      <c r="BZ36" s="14">
        <v>0</v>
      </c>
      <c r="CA36" s="14">
        <v>1375</v>
      </c>
      <c r="CB36" s="14">
        <v>110239</v>
      </c>
      <c r="CC36" s="14">
        <v>109889</v>
      </c>
      <c r="CD36" s="14">
        <v>1126</v>
      </c>
      <c r="CE36" s="14">
        <v>112</v>
      </c>
      <c r="CF36" s="14">
        <v>5</v>
      </c>
      <c r="CG36" s="14">
        <v>96</v>
      </c>
      <c r="CH36" s="14">
        <v>61</v>
      </c>
      <c r="CI36" s="14">
        <v>325</v>
      </c>
      <c r="CJ36" s="14">
        <f t="shared" si="12"/>
        <v>487</v>
      </c>
      <c r="CK36" s="14">
        <v>55702</v>
      </c>
      <c r="CL36" s="14">
        <v>55912</v>
      </c>
      <c r="CM36" s="14">
        <v>62563</v>
      </c>
      <c r="CN36" s="11">
        <f t="shared" si="13"/>
        <v>0.56053004103427884</v>
      </c>
      <c r="CO36" s="14">
        <v>49051</v>
      </c>
      <c r="CP36" s="11">
        <f t="shared" si="14"/>
        <v>0.43946995896572116</v>
      </c>
      <c r="CQ36" s="29">
        <v>6971</v>
      </c>
      <c r="CR36" s="29">
        <v>57403</v>
      </c>
      <c r="CS36" s="29">
        <v>31517</v>
      </c>
      <c r="CT36" s="29">
        <v>13414</v>
      </c>
      <c r="CU36" s="45">
        <v>24980</v>
      </c>
      <c r="CV36" s="45">
        <v>7358</v>
      </c>
      <c r="CW36" s="45">
        <v>10023</v>
      </c>
      <c r="CX36" s="45">
        <v>4632</v>
      </c>
      <c r="CY36" s="45">
        <v>2967</v>
      </c>
      <c r="CZ36" s="45">
        <v>115</v>
      </c>
      <c r="DA36" s="45">
        <v>115</v>
      </c>
      <c r="DB36" s="45">
        <v>115</v>
      </c>
      <c r="DC36" s="45">
        <v>114</v>
      </c>
    </row>
    <row r="37" spans="1:107" x14ac:dyDescent="0.35">
      <c r="A37" s="1" t="s">
        <v>243</v>
      </c>
      <c r="B37" s="5" t="s">
        <v>0</v>
      </c>
      <c r="C37" s="3" t="s">
        <v>264</v>
      </c>
      <c r="D37" s="4" t="s">
        <v>265</v>
      </c>
      <c r="E37" s="5">
        <v>4</v>
      </c>
      <c r="F37" s="5">
        <v>41</v>
      </c>
      <c r="G37" s="2">
        <v>0.79157373991322333</v>
      </c>
      <c r="H37" s="2" t="s">
        <v>1276</v>
      </c>
      <c r="I37" s="9" t="s">
        <v>13</v>
      </c>
      <c r="J3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HAJI AMZAD HASHIM </v>
      </c>
      <c r="K37" s="8">
        <v>22109</v>
      </c>
      <c r="L37" s="8" t="s">
        <v>8</v>
      </c>
      <c r="M37" s="7" t="s">
        <v>267</v>
      </c>
      <c r="N37" s="8">
        <v>10946</v>
      </c>
      <c r="O37" s="8" t="s">
        <v>10</v>
      </c>
      <c r="P37" s="7" t="s">
        <v>268</v>
      </c>
      <c r="Q37" s="8">
        <v>63016</v>
      </c>
      <c r="R37" s="8" t="s">
        <v>12</v>
      </c>
      <c r="S37" s="7" t="s">
        <v>266</v>
      </c>
      <c r="T37" s="10">
        <v>40907</v>
      </c>
      <c r="U37" s="10">
        <v>0</v>
      </c>
      <c r="V37" s="10">
        <v>0</v>
      </c>
      <c r="W37" s="10">
        <v>1</v>
      </c>
      <c r="X37" s="10">
        <v>37929</v>
      </c>
      <c r="Y37" s="12" t="s">
        <v>95</v>
      </c>
      <c r="Z37" s="12" t="s">
        <v>1277</v>
      </c>
      <c r="AA37" s="13" t="s">
        <v>269</v>
      </c>
      <c r="AB37" s="14">
        <v>14773</v>
      </c>
      <c r="AC37" s="15" t="s">
        <v>270</v>
      </c>
      <c r="AD37" s="16">
        <v>47994</v>
      </c>
      <c r="AE37" s="14">
        <v>28215</v>
      </c>
      <c r="AF37" s="14">
        <v>42988</v>
      </c>
      <c r="AG37" s="14">
        <v>15380</v>
      </c>
      <c r="AH37" s="14" t="s">
        <v>17</v>
      </c>
      <c r="AI37" s="15" t="s">
        <v>10</v>
      </c>
      <c r="AJ37" s="14">
        <v>0</v>
      </c>
      <c r="AK37" s="14">
        <v>0</v>
      </c>
      <c r="AL37" s="14">
        <v>1</v>
      </c>
      <c r="AM37" s="51">
        <v>103611</v>
      </c>
      <c r="AN37" s="51">
        <v>93256</v>
      </c>
      <c r="AO37" s="51">
        <v>9538</v>
      </c>
      <c r="AP37" s="51">
        <v>543</v>
      </c>
      <c r="AQ37" s="51">
        <v>171</v>
      </c>
      <c r="AR37" s="51">
        <v>56</v>
      </c>
      <c r="AS37" s="51">
        <v>44</v>
      </c>
      <c r="AT37" s="51">
        <v>3</v>
      </c>
      <c r="AU37" s="51">
        <v>51672</v>
      </c>
      <c r="AV37" s="51">
        <v>51939</v>
      </c>
      <c r="AW37" s="51">
        <v>48450</v>
      </c>
      <c r="AX37" s="51">
        <v>55161</v>
      </c>
      <c r="AY37" s="14">
        <v>31940</v>
      </c>
      <c r="AZ37" s="14">
        <v>123305</v>
      </c>
      <c r="BA37" s="14">
        <v>24</v>
      </c>
      <c r="BB37" s="14">
        <v>1403</v>
      </c>
      <c r="BC37" s="14">
        <v>121878</v>
      </c>
      <c r="BD37" s="14">
        <v>111365</v>
      </c>
      <c r="BE37" s="11">
        <f>Table14[[#This Row],[Melayu_Voters_GE15]]/Table14[[#This Row],[All_Voters_GE15]]</f>
        <v>0.90316694375734963</v>
      </c>
      <c r="BF37" s="14">
        <v>10582</v>
      </c>
      <c r="BG37" s="11">
        <f>Table14[[#This Row],[Chinese_Voters_GE15]]/Table14[[#This Row],[All_Voters_GE15]]</f>
        <v>8.5819715340010538E-2</v>
      </c>
      <c r="BH37" s="14">
        <v>694</v>
      </c>
      <c r="BI37" s="11">
        <f>Table14[[#This Row],[India_Voters_GE15]]/Table14[[#This Row],[All_Voters_GE15]]</f>
        <v>5.6283200194639305E-3</v>
      </c>
      <c r="BJ37" s="14">
        <v>6</v>
      </c>
      <c r="BK37" s="14">
        <v>95</v>
      </c>
      <c r="BL37" s="14">
        <v>69</v>
      </c>
      <c r="BM37" s="14">
        <v>494</v>
      </c>
      <c r="BN37" s="14">
        <f>Table14[[#This Row],[Lain_Voters_GE15]]+Table14[[#This Row],[Swak_Voters_GE15]]+Table14[[#This Row],[Sabah_Voters_GE15]]+Table14[[#This Row],[OA_Voters_GE15]]</f>
        <v>664</v>
      </c>
      <c r="BO37" s="11">
        <f>Table14[[#This Row],[Base_Stock_GE15]]/Table14[[#This Row],[All_Voters_GE15]]</f>
        <v>0.30760309800900204</v>
      </c>
      <c r="BP37" s="14">
        <v>25230</v>
      </c>
      <c r="BQ37" s="10">
        <v>25350</v>
      </c>
      <c r="BR37" s="44">
        <v>19361</v>
      </c>
      <c r="BS37" s="10">
        <v>6180</v>
      </c>
      <c r="BT37" s="10">
        <v>58962</v>
      </c>
      <c r="BU37" s="10">
        <v>38186</v>
      </c>
      <c r="BV37" s="10">
        <v>19977</v>
      </c>
      <c r="BW37" s="10">
        <f t="shared" si="10"/>
        <v>65142</v>
      </c>
      <c r="BX37" s="10">
        <f t="shared" si="11"/>
        <v>58163</v>
      </c>
      <c r="BY37" s="14">
        <v>125955</v>
      </c>
      <c r="BZ37" s="14">
        <v>0</v>
      </c>
      <c r="CA37" s="14">
        <v>1289</v>
      </c>
      <c r="CB37" s="14">
        <v>124666</v>
      </c>
      <c r="CC37" s="14">
        <v>114476</v>
      </c>
      <c r="CD37" s="14">
        <v>10178</v>
      </c>
      <c r="CE37" s="14">
        <v>657</v>
      </c>
      <c r="CF37" s="14">
        <v>5</v>
      </c>
      <c r="CG37" s="14">
        <v>70</v>
      </c>
      <c r="CH37" s="14">
        <v>46</v>
      </c>
      <c r="CI37" s="14">
        <v>523</v>
      </c>
      <c r="CJ37" s="14">
        <f t="shared" si="12"/>
        <v>644</v>
      </c>
      <c r="CK37" s="14">
        <v>62529</v>
      </c>
      <c r="CL37" s="14">
        <v>63426</v>
      </c>
      <c r="CM37" s="14">
        <v>60778</v>
      </c>
      <c r="CN37" s="11">
        <f t="shared" si="13"/>
        <v>0.48253741415584933</v>
      </c>
      <c r="CO37" s="14">
        <v>65177</v>
      </c>
      <c r="CP37" s="11">
        <f t="shared" si="14"/>
        <v>0.51746258584415072</v>
      </c>
      <c r="CQ37" s="29">
        <v>6144</v>
      </c>
      <c r="CR37" s="29">
        <v>57710</v>
      </c>
      <c r="CS37" s="29">
        <v>39476</v>
      </c>
      <c r="CT37" s="29">
        <v>21345</v>
      </c>
      <c r="CU37" s="45">
        <v>24574</v>
      </c>
      <c r="CV37" s="45">
        <v>8483</v>
      </c>
      <c r="CW37" s="45">
        <v>10476</v>
      </c>
      <c r="CX37" s="45">
        <v>3557</v>
      </c>
      <c r="CY37" s="45">
        <v>2058</v>
      </c>
      <c r="CZ37" s="45">
        <v>110</v>
      </c>
      <c r="DA37" s="45">
        <v>110</v>
      </c>
      <c r="DB37" s="45">
        <v>109</v>
      </c>
      <c r="DC37" s="45">
        <v>108</v>
      </c>
    </row>
    <row r="38" spans="1:107" x14ac:dyDescent="0.35">
      <c r="A38" s="1" t="s">
        <v>243</v>
      </c>
      <c r="B38" s="5" t="s">
        <v>0</v>
      </c>
      <c r="C38" s="3" t="s">
        <v>271</v>
      </c>
      <c r="D38" s="4" t="s">
        <v>272</v>
      </c>
      <c r="E38" s="5">
        <v>4</v>
      </c>
      <c r="F38" s="5">
        <v>45</v>
      </c>
      <c r="G38" s="2">
        <v>0.8367740368560066</v>
      </c>
      <c r="H38" s="2" t="s">
        <v>1276</v>
      </c>
      <c r="I38" s="9" t="s">
        <v>13</v>
      </c>
      <c r="J3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TUAN GURU HAJI ABDUL HADI AWANG </v>
      </c>
      <c r="K38" s="8">
        <v>31386</v>
      </c>
      <c r="L38" s="8" t="s">
        <v>8</v>
      </c>
      <c r="M38" s="7" t="s">
        <v>274</v>
      </c>
      <c r="N38" s="8">
        <v>4140</v>
      </c>
      <c r="O38" s="8" t="s">
        <v>10</v>
      </c>
      <c r="P38" s="7" t="s">
        <v>275</v>
      </c>
      <c r="Q38" s="8">
        <v>73115</v>
      </c>
      <c r="R38" s="8" t="s">
        <v>12</v>
      </c>
      <c r="S38" s="7" t="s">
        <v>273</v>
      </c>
      <c r="T38" s="10">
        <v>41729</v>
      </c>
      <c r="U38" s="10">
        <v>0</v>
      </c>
      <c r="V38" s="10">
        <v>0</v>
      </c>
      <c r="W38" s="10">
        <v>1</v>
      </c>
      <c r="X38" s="10">
        <v>52995</v>
      </c>
      <c r="Y38" s="12" t="s">
        <v>95</v>
      </c>
      <c r="Z38" s="12" t="s">
        <v>1277</v>
      </c>
      <c r="AA38" s="13" t="s">
        <v>276</v>
      </c>
      <c r="AB38" s="14">
        <v>21954</v>
      </c>
      <c r="AC38" s="15" t="s">
        <v>277</v>
      </c>
      <c r="AD38" s="16">
        <v>51044</v>
      </c>
      <c r="AE38" s="14">
        <v>31795</v>
      </c>
      <c r="AF38" s="14">
        <v>53749</v>
      </c>
      <c r="AG38" s="14">
        <v>5138</v>
      </c>
      <c r="AH38" s="14" t="s">
        <v>17</v>
      </c>
      <c r="AI38" s="15" t="s">
        <v>10</v>
      </c>
      <c r="AJ38" s="14">
        <v>0</v>
      </c>
      <c r="AK38" s="14">
        <v>0</v>
      </c>
      <c r="AL38" s="14">
        <v>1</v>
      </c>
      <c r="AM38" s="51">
        <v>104898</v>
      </c>
      <c r="AN38" s="51">
        <v>102469</v>
      </c>
      <c r="AO38" s="51">
        <v>2113</v>
      </c>
      <c r="AP38" s="51">
        <v>91</v>
      </c>
      <c r="AQ38" s="51">
        <v>124</v>
      </c>
      <c r="AR38" s="51">
        <v>53</v>
      </c>
      <c r="AS38" s="51">
        <v>46</v>
      </c>
      <c r="AT38" s="51">
        <v>2</v>
      </c>
      <c r="AU38" s="51">
        <v>51968</v>
      </c>
      <c r="AV38" s="51">
        <v>52930</v>
      </c>
      <c r="AW38" s="51">
        <v>54758</v>
      </c>
      <c r="AX38" s="51">
        <v>50140</v>
      </c>
      <c r="AY38" s="14">
        <v>33447.666666666664</v>
      </c>
      <c r="AZ38" s="14">
        <v>131756</v>
      </c>
      <c r="BA38" s="14">
        <v>12</v>
      </c>
      <c r="BB38" s="14">
        <v>743</v>
      </c>
      <c r="BC38" s="14">
        <v>131001</v>
      </c>
      <c r="BD38" s="14">
        <v>128547</v>
      </c>
      <c r="BE38" s="11">
        <f>Table14[[#This Row],[Melayu_Voters_GE15]]/Table14[[#This Row],[All_Voters_GE15]]</f>
        <v>0.97564437293178297</v>
      </c>
      <c r="BF38" s="14">
        <v>2452</v>
      </c>
      <c r="BG38" s="11">
        <f>Table14[[#This Row],[Chinese_Voters_GE15]]/Table14[[#This Row],[All_Voters_GE15]]</f>
        <v>1.8610158171164879E-2</v>
      </c>
      <c r="BH38" s="14">
        <v>122</v>
      </c>
      <c r="BI38" s="11">
        <f>Table14[[#This Row],[India_Voters_GE15]]/Table14[[#This Row],[All_Voters_GE15]]</f>
        <v>9.259540362488236E-4</v>
      </c>
      <c r="BJ38" s="14">
        <v>5</v>
      </c>
      <c r="BK38" s="14">
        <v>85</v>
      </c>
      <c r="BL38" s="14">
        <v>59</v>
      </c>
      <c r="BM38" s="14">
        <v>486</v>
      </c>
      <c r="BN38" s="14">
        <f>Table14[[#This Row],[Lain_Voters_GE15]]+Table14[[#This Row],[Swak_Voters_GE15]]+Table14[[#This Row],[Sabah_Voters_GE15]]+Table14[[#This Row],[OA_Voters_GE15]]</f>
        <v>635</v>
      </c>
      <c r="BO38" s="11">
        <f>Table14[[#This Row],[Base_Stock_GE15]]/Table14[[#This Row],[All_Voters_GE15]]</f>
        <v>0.40222077172956072</v>
      </c>
      <c r="BP38" s="14">
        <v>35839</v>
      </c>
      <c r="BQ38" s="10">
        <v>31103</v>
      </c>
      <c r="BR38" s="44">
        <v>26323</v>
      </c>
      <c r="BS38" s="10">
        <v>8624</v>
      </c>
      <c r="BT38" s="10">
        <v>69670</v>
      </c>
      <c r="BU38" s="10">
        <v>37221</v>
      </c>
      <c r="BV38" s="10">
        <v>16241</v>
      </c>
      <c r="BW38" s="10">
        <f t="shared" si="10"/>
        <v>78294</v>
      </c>
      <c r="BX38" s="10">
        <f t="shared" si="11"/>
        <v>53462</v>
      </c>
      <c r="BY38" s="14">
        <v>138903</v>
      </c>
      <c r="BZ38" s="14">
        <v>0</v>
      </c>
      <c r="CA38" s="14">
        <v>717</v>
      </c>
      <c r="CB38" s="14">
        <v>138186</v>
      </c>
      <c r="CC38" s="14">
        <v>135712</v>
      </c>
      <c r="CD38" s="14">
        <v>2397</v>
      </c>
      <c r="CE38" s="14">
        <v>127</v>
      </c>
      <c r="CF38" s="14">
        <v>5</v>
      </c>
      <c r="CG38" s="14">
        <v>90</v>
      </c>
      <c r="CH38" s="14">
        <v>60</v>
      </c>
      <c r="CI38" s="14">
        <v>512</v>
      </c>
      <c r="CJ38" s="14">
        <f t="shared" si="12"/>
        <v>667</v>
      </c>
      <c r="CK38" s="14">
        <v>69027</v>
      </c>
      <c r="CL38" s="14">
        <v>69876</v>
      </c>
      <c r="CM38" s="14">
        <v>76490</v>
      </c>
      <c r="CN38" s="11">
        <f t="shared" si="13"/>
        <v>0.55067205171954525</v>
      </c>
      <c r="CO38" s="14">
        <v>62413</v>
      </c>
      <c r="CP38" s="11">
        <f t="shared" si="14"/>
        <v>0.44932794828045469</v>
      </c>
      <c r="CQ38" s="29">
        <v>8527</v>
      </c>
      <c r="CR38" s="29">
        <v>70078</v>
      </c>
      <c r="CS38" s="29">
        <v>39875</v>
      </c>
      <c r="CT38" s="29">
        <v>17410</v>
      </c>
      <c r="CU38" s="45">
        <v>28922</v>
      </c>
      <c r="CV38" s="45">
        <v>9030</v>
      </c>
      <c r="CW38" s="45">
        <v>12260</v>
      </c>
      <c r="CX38" s="45">
        <v>4582</v>
      </c>
      <c r="CY38" s="45">
        <v>3050</v>
      </c>
      <c r="CZ38" s="45">
        <v>156</v>
      </c>
      <c r="DA38" s="45">
        <v>154</v>
      </c>
      <c r="DB38" s="45">
        <v>154</v>
      </c>
      <c r="DC38" s="45">
        <v>152</v>
      </c>
    </row>
    <row r="39" spans="1:107" x14ac:dyDescent="0.35">
      <c r="A39" s="1" t="s">
        <v>243</v>
      </c>
      <c r="B39" s="5" t="s">
        <v>0</v>
      </c>
      <c r="C39" s="3" t="s">
        <v>278</v>
      </c>
      <c r="D39" s="4" t="s">
        <v>279</v>
      </c>
      <c r="E39" s="5">
        <v>4</v>
      </c>
      <c r="F39" s="5">
        <v>52</v>
      </c>
      <c r="G39" s="2">
        <v>0.82924804076572223</v>
      </c>
      <c r="H39" s="2" t="s">
        <v>1276</v>
      </c>
      <c r="I39" s="9" t="s">
        <v>13</v>
      </c>
      <c r="J3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ROSOL WAHID </v>
      </c>
      <c r="K39" s="8">
        <v>27176</v>
      </c>
      <c r="L39" s="8" t="s">
        <v>8</v>
      </c>
      <c r="M39" s="7" t="s">
        <v>281</v>
      </c>
      <c r="N39" s="8">
        <v>1740</v>
      </c>
      <c r="O39" s="8" t="s">
        <v>23</v>
      </c>
      <c r="P39" s="7" t="s">
        <v>282</v>
      </c>
      <c r="Q39" s="8">
        <v>42910</v>
      </c>
      <c r="R39" s="8" t="s">
        <v>12</v>
      </c>
      <c r="S39" s="7" t="s">
        <v>280</v>
      </c>
      <c r="T39" s="10">
        <v>15734</v>
      </c>
      <c r="U39" s="10">
        <v>0</v>
      </c>
      <c r="V39" s="10">
        <v>0</v>
      </c>
      <c r="W39" s="10">
        <v>1</v>
      </c>
      <c r="X39" s="10">
        <v>43325</v>
      </c>
      <c r="Y39" s="12" t="s">
        <v>14</v>
      </c>
      <c r="Z39" s="12" t="s">
        <v>1277</v>
      </c>
      <c r="AA39" s="13" t="s">
        <v>283</v>
      </c>
      <c r="AB39" s="14">
        <v>2868</v>
      </c>
      <c r="AC39" s="15" t="s">
        <v>284</v>
      </c>
      <c r="AD39" s="16">
        <v>42599</v>
      </c>
      <c r="AE39" s="14">
        <v>30925</v>
      </c>
      <c r="AF39" s="14">
        <v>28057</v>
      </c>
      <c r="AG39" s="14">
        <v>3364</v>
      </c>
      <c r="AH39" s="14" t="s">
        <v>17</v>
      </c>
      <c r="AI39" s="15" t="s">
        <v>18</v>
      </c>
      <c r="AJ39" s="14">
        <v>1</v>
      </c>
      <c r="AK39" s="14">
        <v>0</v>
      </c>
      <c r="AL39" s="14">
        <v>0</v>
      </c>
      <c r="AM39" s="51">
        <v>73487</v>
      </c>
      <c r="AN39" s="51">
        <v>72815</v>
      </c>
      <c r="AO39" s="51">
        <v>346</v>
      </c>
      <c r="AP39" s="51">
        <v>32</v>
      </c>
      <c r="AQ39" s="51">
        <v>86</v>
      </c>
      <c r="AR39" s="51">
        <v>31</v>
      </c>
      <c r="AS39" s="51">
        <v>22</v>
      </c>
      <c r="AT39" s="51">
        <v>155</v>
      </c>
      <c r="AU39" s="51">
        <v>36351</v>
      </c>
      <c r="AV39" s="51">
        <v>37136</v>
      </c>
      <c r="AW39" s="51">
        <v>38384</v>
      </c>
      <c r="AX39" s="51">
        <v>35103</v>
      </c>
      <c r="AY39" s="14">
        <v>30216.333333333332</v>
      </c>
      <c r="AZ39" s="14">
        <v>87917</v>
      </c>
      <c r="BA39" s="14">
        <v>4</v>
      </c>
      <c r="BB39" s="14">
        <v>232</v>
      </c>
      <c r="BC39" s="14">
        <v>87681</v>
      </c>
      <c r="BD39" s="14">
        <v>86910</v>
      </c>
      <c r="BE39" s="11">
        <f>Table14[[#This Row],[Melayu_Voters_GE15]]/Table14[[#This Row],[All_Voters_GE15]]</f>
        <v>0.98854601499141237</v>
      </c>
      <c r="BF39" s="14">
        <v>378</v>
      </c>
      <c r="BG39" s="11">
        <f>Table14[[#This Row],[Chinese_Voters_GE15]]/Table14[[#This Row],[All_Voters_GE15]]</f>
        <v>4.2995097648918868E-3</v>
      </c>
      <c r="BH39" s="14">
        <v>33</v>
      </c>
      <c r="BI39" s="11">
        <f>Table14[[#This Row],[India_Voters_GE15]]/Table14[[#This Row],[All_Voters_GE15]]</f>
        <v>3.7535402709373616E-4</v>
      </c>
      <c r="BJ39" s="14">
        <v>275</v>
      </c>
      <c r="BK39" s="14">
        <v>52</v>
      </c>
      <c r="BL39" s="14">
        <v>37</v>
      </c>
      <c r="BM39" s="14">
        <v>232</v>
      </c>
      <c r="BN39" s="14">
        <f>Table14[[#This Row],[Lain_Voters_GE15]]+Table14[[#This Row],[Swak_Voters_GE15]]+Table14[[#This Row],[Sabah_Voters_GE15]]+Table14[[#This Row],[OA_Voters_GE15]]</f>
        <v>596</v>
      </c>
      <c r="BO39" s="11">
        <f>Table14[[#This Row],[Base_Stock_GE15]]/Table14[[#This Row],[All_Voters_GE15]]</f>
        <v>0.49279434011624601</v>
      </c>
      <c r="BP39" s="14">
        <v>32537</v>
      </c>
      <c r="BQ39" s="10">
        <v>17691</v>
      </c>
      <c r="BR39" s="44">
        <v>15232</v>
      </c>
      <c r="BS39" s="10">
        <v>4925</v>
      </c>
      <c r="BT39" s="10">
        <v>45613</v>
      </c>
      <c r="BU39" s="10">
        <v>25252</v>
      </c>
      <c r="BV39" s="10">
        <v>12127</v>
      </c>
      <c r="BW39" s="10">
        <f t="shared" si="10"/>
        <v>50538</v>
      </c>
      <c r="BX39" s="10">
        <f t="shared" si="11"/>
        <v>37379</v>
      </c>
      <c r="BY39" s="14">
        <v>91367</v>
      </c>
      <c r="BZ39" s="14">
        <v>0</v>
      </c>
      <c r="CA39" s="14">
        <v>289</v>
      </c>
      <c r="CB39" s="14">
        <v>91078</v>
      </c>
      <c r="CC39" s="14">
        <v>90332</v>
      </c>
      <c r="CD39" s="14">
        <v>352</v>
      </c>
      <c r="CE39" s="14">
        <v>31</v>
      </c>
      <c r="CF39" s="14">
        <v>302</v>
      </c>
      <c r="CG39" s="14">
        <v>63</v>
      </c>
      <c r="CH39" s="14">
        <v>38</v>
      </c>
      <c r="CI39" s="14">
        <v>249</v>
      </c>
      <c r="CJ39" s="14">
        <f t="shared" si="12"/>
        <v>652</v>
      </c>
      <c r="CK39" s="14">
        <v>45348</v>
      </c>
      <c r="CL39" s="14">
        <v>46019</v>
      </c>
      <c r="CM39" s="14">
        <v>47591</v>
      </c>
      <c r="CN39" s="11">
        <f t="shared" si="13"/>
        <v>0.52087734083421799</v>
      </c>
      <c r="CO39" s="14">
        <v>43776</v>
      </c>
      <c r="CP39" s="11">
        <f t="shared" si="14"/>
        <v>0.47912265916578195</v>
      </c>
      <c r="CQ39" s="29">
        <v>4824</v>
      </c>
      <c r="CR39" s="29">
        <v>44764</v>
      </c>
      <c r="CS39" s="29">
        <v>27200</v>
      </c>
      <c r="CT39" s="29">
        <v>12930</v>
      </c>
      <c r="CU39" s="45">
        <v>27730</v>
      </c>
      <c r="CV39" s="45">
        <v>8681</v>
      </c>
      <c r="CW39" s="45">
        <v>11293</v>
      </c>
      <c r="CX39" s="45">
        <v>4403</v>
      </c>
      <c r="CY39" s="45">
        <v>3353</v>
      </c>
      <c r="CZ39" s="45">
        <v>141</v>
      </c>
      <c r="DA39" s="45">
        <v>141</v>
      </c>
      <c r="DB39" s="45">
        <v>141</v>
      </c>
      <c r="DC39" s="45">
        <v>136</v>
      </c>
    </row>
    <row r="40" spans="1:107" x14ac:dyDescent="0.35">
      <c r="A40" s="1" t="s">
        <v>243</v>
      </c>
      <c r="B40" s="5" t="s">
        <v>0</v>
      </c>
      <c r="C40" s="3" t="s">
        <v>285</v>
      </c>
      <c r="D40" s="4" t="s">
        <v>286</v>
      </c>
      <c r="E40" s="5">
        <v>4</v>
      </c>
      <c r="F40" s="5">
        <v>49</v>
      </c>
      <c r="G40" s="2">
        <v>0.79723777464325585</v>
      </c>
      <c r="H40" s="2" t="s">
        <v>1276</v>
      </c>
      <c r="I40" s="9" t="s">
        <v>13</v>
      </c>
      <c r="J4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HAJI WAN HASSAN </v>
      </c>
      <c r="K40" s="8">
        <v>25615</v>
      </c>
      <c r="L40" s="8" t="s">
        <v>8</v>
      </c>
      <c r="M40" s="7" t="s">
        <v>288</v>
      </c>
      <c r="N40" s="8">
        <v>5307</v>
      </c>
      <c r="O40" s="8" t="s">
        <v>23</v>
      </c>
      <c r="P40" s="7" t="s">
        <v>289</v>
      </c>
      <c r="Q40" s="8">
        <v>59720</v>
      </c>
      <c r="R40" s="8" t="s">
        <v>12</v>
      </c>
      <c r="S40" s="7" t="s">
        <v>287</v>
      </c>
      <c r="T40" s="10">
        <v>34105</v>
      </c>
      <c r="U40" s="10">
        <v>0</v>
      </c>
      <c r="V40" s="10">
        <v>0</v>
      </c>
      <c r="W40" s="10">
        <v>1</v>
      </c>
      <c r="X40" s="10">
        <v>51942</v>
      </c>
      <c r="Y40" s="12" t="s">
        <v>95</v>
      </c>
      <c r="Z40" s="12" t="s">
        <v>1277</v>
      </c>
      <c r="AA40" s="13" t="s">
        <v>290</v>
      </c>
      <c r="AB40" s="14">
        <v>13119</v>
      </c>
      <c r="AC40" s="15" t="s">
        <v>291</v>
      </c>
      <c r="AD40" s="16">
        <v>43486</v>
      </c>
      <c r="AE40" s="14">
        <v>27731</v>
      </c>
      <c r="AF40" s="14">
        <v>40850</v>
      </c>
      <c r="AG40" s="14">
        <v>6833</v>
      </c>
      <c r="AH40" s="14" t="s">
        <v>17</v>
      </c>
      <c r="AI40" s="15" t="s">
        <v>29</v>
      </c>
      <c r="AJ40" s="14">
        <v>0</v>
      </c>
      <c r="AK40" s="14">
        <v>0</v>
      </c>
      <c r="AL40" s="14">
        <v>1</v>
      </c>
      <c r="AM40" s="51">
        <v>90506</v>
      </c>
      <c r="AN40" s="51">
        <v>86902</v>
      </c>
      <c r="AO40" s="51">
        <v>3084</v>
      </c>
      <c r="AP40" s="51">
        <v>170</v>
      </c>
      <c r="AQ40" s="51">
        <v>236</v>
      </c>
      <c r="AR40" s="51">
        <v>69</v>
      </c>
      <c r="AS40" s="51">
        <v>43</v>
      </c>
      <c r="AT40" s="51">
        <v>2</v>
      </c>
      <c r="AU40" s="51">
        <v>45474</v>
      </c>
      <c r="AV40" s="51">
        <v>45032</v>
      </c>
      <c r="AW40" s="51">
        <v>46694</v>
      </c>
      <c r="AX40" s="51">
        <v>43812</v>
      </c>
      <c r="AY40" s="14">
        <v>29467</v>
      </c>
      <c r="AZ40" s="14">
        <v>115559</v>
      </c>
      <c r="BA40" s="14">
        <v>12</v>
      </c>
      <c r="BB40" s="14">
        <v>595</v>
      </c>
      <c r="BC40" s="14">
        <v>114952</v>
      </c>
      <c r="BD40" s="14">
        <v>110641</v>
      </c>
      <c r="BE40" s="11">
        <f>Table14[[#This Row],[Melayu_Voters_GE15]]/Table14[[#This Row],[All_Voters_GE15]]</f>
        <v>0.95744165318149166</v>
      </c>
      <c r="BF40" s="14">
        <v>3625</v>
      </c>
      <c r="BG40" s="11">
        <f>Table14[[#This Row],[Chinese_Voters_GE15]]/Table14[[#This Row],[All_Voters_GE15]]</f>
        <v>3.1369257262523903E-2</v>
      </c>
      <c r="BH40" s="14">
        <v>228</v>
      </c>
      <c r="BI40" s="11">
        <f>Table14[[#This Row],[India_Voters_GE15]]/Table14[[#This Row],[All_Voters_GE15]]</f>
        <v>1.9730181119601243E-3</v>
      </c>
      <c r="BJ40" s="14">
        <v>8</v>
      </c>
      <c r="BK40" s="14">
        <v>154</v>
      </c>
      <c r="BL40" s="14">
        <v>91</v>
      </c>
      <c r="BM40" s="14">
        <v>812</v>
      </c>
      <c r="BN40" s="14">
        <f>Table14[[#This Row],[Lain_Voters_GE15]]+Table14[[#This Row],[Swak_Voters_GE15]]+Table14[[#This Row],[Sabah_Voters_GE15]]+Table14[[#This Row],[OA_Voters_GE15]]</f>
        <v>1065</v>
      </c>
      <c r="BO40" s="11">
        <f>Table14[[#This Row],[Base_Stock_GE15]]/Table14[[#This Row],[All_Voters_GE15]]</f>
        <v>0.44948467882207355</v>
      </c>
      <c r="BP40" s="14">
        <v>33026</v>
      </c>
      <c r="BQ40" s="10">
        <v>28943</v>
      </c>
      <c r="BR40" s="44">
        <v>23452</v>
      </c>
      <c r="BS40" s="10">
        <v>7874</v>
      </c>
      <c r="BT40" s="10">
        <v>60547</v>
      </c>
      <c r="BU40" s="10">
        <v>33555</v>
      </c>
      <c r="BV40" s="10">
        <v>13583</v>
      </c>
      <c r="BW40" s="10">
        <f t="shared" si="10"/>
        <v>68421</v>
      </c>
      <c r="BX40" s="10">
        <f t="shared" si="11"/>
        <v>47138</v>
      </c>
      <c r="BY40" s="14">
        <v>121928</v>
      </c>
      <c r="BZ40" s="14">
        <v>0</v>
      </c>
      <c r="CA40" s="14">
        <v>659</v>
      </c>
      <c r="CB40" s="14">
        <v>121269</v>
      </c>
      <c r="CC40" s="14">
        <v>117071</v>
      </c>
      <c r="CD40" s="14">
        <v>3520</v>
      </c>
      <c r="CE40" s="14">
        <v>212</v>
      </c>
      <c r="CF40" s="14">
        <v>9</v>
      </c>
      <c r="CG40" s="14">
        <v>162</v>
      </c>
      <c r="CH40" s="14">
        <v>103</v>
      </c>
      <c r="CI40" s="14">
        <v>851</v>
      </c>
      <c r="CJ40" s="14">
        <f t="shared" si="12"/>
        <v>1125</v>
      </c>
      <c r="CK40" s="14">
        <v>61036</v>
      </c>
      <c r="CL40" s="14">
        <v>60892</v>
      </c>
      <c r="CM40" s="14">
        <v>67213</v>
      </c>
      <c r="CN40" s="11">
        <f t="shared" si="13"/>
        <v>0.5512515582966997</v>
      </c>
      <c r="CO40" s="14">
        <v>54715</v>
      </c>
      <c r="CP40" s="11">
        <f t="shared" si="14"/>
        <v>0.4487484417033003</v>
      </c>
      <c r="CQ40" s="29">
        <v>7681</v>
      </c>
      <c r="CR40" s="29">
        <v>61162</v>
      </c>
      <c r="CS40" s="29">
        <v>35436</v>
      </c>
      <c r="CT40" s="29">
        <v>14787</v>
      </c>
      <c r="CU40" s="45">
        <v>24159</v>
      </c>
      <c r="CV40" s="45">
        <v>8053</v>
      </c>
      <c r="CW40" s="45">
        <v>10454</v>
      </c>
      <c r="CX40" s="45">
        <v>3232</v>
      </c>
      <c r="CY40" s="45">
        <v>2420</v>
      </c>
      <c r="CZ40" s="45">
        <v>109</v>
      </c>
      <c r="DA40" s="45">
        <v>109</v>
      </c>
      <c r="DB40" s="45">
        <v>108</v>
      </c>
      <c r="DC40" s="45">
        <v>108</v>
      </c>
    </row>
    <row r="41" spans="1:107" x14ac:dyDescent="0.35">
      <c r="A41" s="1" t="s">
        <v>243</v>
      </c>
      <c r="B41" s="5" t="s">
        <v>0</v>
      </c>
      <c r="C41" s="3" t="s">
        <v>292</v>
      </c>
      <c r="D41" s="4" t="s">
        <v>293</v>
      </c>
      <c r="E41" s="5">
        <v>4</v>
      </c>
      <c r="F41" s="5">
        <v>48</v>
      </c>
      <c r="G41" s="2">
        <v>0.82147852219504669</v>
      </c>
      <c r="H41" s="2" t="s">
        <v>1276</v>
      </c>
      <c r="I41" s="9" t="s">
        <v>13</v>
      </c>
      <c r="J4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CHE ALIAS HAMID </v>
      </c>
      <c r="K41" s="8">
        <v>38535</v>
      </c>
      <c r="L41" s="8" t="s">
        <v>8</v>
      </c>
      <c r="M41" s="7" t="s">
        <v>295</v>
      </c>
      <c r="N41" s="8">
        <v>8340</v>
      </c>
      <c r="O41" s="8" t="s">
        <v>23</v>
      </c>
      <c r="P41" s="7" t="s">
        <v>296</v>
      </c>
      <c r="Q41" s="8">
        <v>65714</v>
      </c>
      <c r="R41" s="8" t="s">
        <v>12</v>
      </c>
      <c r="S41" s="7" t="s">
        <v>294</v>
      </c>
      <c r="T41" s="10">
        <v>27179</v>
      </c>
      <c r="U41" s="10">
        <v>0</v>
      </c>
      <c r="V41" s="10">
        <v>0</v>
      </c>
      <c r="W41" s="10">
        <v>1</v>
      </c>
      <c r="X41" s="10">
        <v>59845</v>
      </c>
      <c r="Y41" s="12" t="s">
        <v>95</v>
      </c>
      <c r="Z41" s="12" t="s">
        <v>1277</v>
      </c>
      <c r="AA41" s="13" t="s">
        <v>297</v>
      </c>
      <c r="AB41" s="14">
        <v>2163</v>
      </c>
      <c r="AC41" s="15" t="s">
        <v>298</v>
      </c>
      <c r="AD41" s="16">
        <v>57904</v>
      </c>
      <c r="AE41" s="14">
        <v>37715</v>
      </c>
      <c r="AF41" s="14">
        <v>39878</v>
      </c>
      <c r="AG41" s="14">
        <v>12911</v>
      </c>
      <c r="AH41" s="14" t="s">
        <v>17</v>
      </c>
      <c r="AI41" s="15" t="s">
        <v>29</v>
      </c>
      <c r="AJ41" s="14">
        <v>0</v>
      </c>
      <c r="AK41" s="14">
        <v>0</v>
      </c>
      <c r="AL41" s="14">
        <v>1</v>
      </c>
      <c r="AM41" s="51">
        <v>107593</v>
      </c>
      <c r="AN41" s="51">
        <v>100492</v>
      </c>
      <c r="AO41" s="51">
        <v>5792</v>
      </c>
      <c r="AP41" s="51">
        <v>682</v>
      </c>
      <c r="AQ41" s="51">
        <v>233</v>
      </c>
      <c r="AR41" s="51">
        <v>94</v>
      </c>
      <c r="AS41" s="51">
        <v>92</v>
      </c>
      <c r="AT41" s="51">
        <v>208</v>
      </c>
      <c r="AU41" s="51">
        <v>54769</v>
      </c>
      <c r="AV41" s="51">
        <v>52824</v>
      </c>
      <c r="AW41" s="51">
        <v>54408</v>
      </c>
      <c r="AX41" s="51">
        <v>53185</v>
      </c>
      <c r="AY41" s="14">
        <v>40146.333333333336</v>
      </c>
      <c r="AZ41" s="14">
        <v>139423</v>
      </c>
      <c r="BA41" s="14">
        <v>12</v>
      </c>
      <c r="BB41" s="14">
        <v>387</v>
      </c>
      <c r="BC41" s="14">
        <v>139024</v>
      </c>
      <c r="BD41" s="14">
        <v>130010</v>
      </c>
      <c r="BE41" s="11">
        <f>Table14[[#This Row],[Melayu_Voters_GE15]]/Table14[[#This Row],[All_Voters_GE15]]</f>
        <v>0.9324860317164313</v>
      </c>
      <c r="BF41" s="14">
        <v>7007</v>
      </c>
      <c r="BG41" s="11">
        <f>Table14[[#This Row],[Chinese_Voters_GE15]]/Table14[[#This Row],[All_Voters_GE15]]</f>
        <v>5.0257131176348238E-2</v>
      </c>
      <c r="BH41" s="14">
        <v>765</v>
      </c>
      <c r="BI41" s="11">
        <f>Table14[[#This Row],[India_Voters_GE15]]/Table14[[#This Row],[All_Voters_GE15]]</f>
        <v>5.4868995789790782E-3</v>
      </c>
      <c r="BJ41" s="14">
        <v>318</v>
      </c>
      <c r="BK41" s="14">
        <v>153</v>
      </c>
      <c r="BL41" s="14">
        <v>205</v>
      </c>
      <c r="BM41" s="14">
        <v>965</v>
      </c>
      <c r="BN41" s="14">
        <f>Table14[[#This Row],[Lain_Voters_GE15]]+Table14[[#This Row],[Swak_Voters_GE15]]+Table14[[#This Row],[Sabah_Voters_GE15]]+Table14[[#This Row],[OA_Voters_GE15]]</f>
        <v>1641</v>
      </c>
      <c r="BO41" s="11">
        <f>Table14[[#This Row],[Base_Stock_GE15]]/Table14[[#This Row],[All_Voters_GE15]]</f>
        <v>0.42923334026667048</v>
      </c>
      <c r="BP41" s="14">
        <v>47936</v>
      </c>
      <c r="BQ41" s="10">
        <v>35615</v>
      </c>
      <c r="BR41" s="44">
        <v>28491</v>
      </c>
      <c r="BS41" s="10">
        <v>9883</v>
      </c>
      <c r="BT41" s="10">
        <v>71768</v>
      </c>
      <c r="BU41" s="10">
        <v>40789</v>
      </c>
      <c r="BV41" s="10">
        <v>16983</v>
      </c>
      <c r="BW41" s="10">
        <f t="shared" si="10"/>
        <v>81651</v>
      </c>
      <c r="BX41" s="10">
        <f t="shared" si="11"/>
        <v>57772</v>
      </c>
      <c r="BY41" s="14">
        <v>147924</v>
      </c>
      <c r="BZ41" s="14">
        <v>0</v>
      </c>
      <c r="CA41" s="14">
        <v>359</v>
      </c>
      <c r="CB41" s="14">
        <v>147565</v>
      </c>
      <c r="CC41" s="14">
        <v>138582</v>
      </c>
      <c r="CD41" s="14">
        <v>6894</v>
      </c>
      <c r="CE41" s="14">
        <v>737</v>
      </c>
      <c r="CF41" s="14">
        <v>334</v>
      </c>
      <c r="CG41" s="14">
        <v>164</v>
      </c>
      <c r="CH41" s="14">
        <v>217</v>
      </c>
      <c r="CI41" s="14">
        <v>996</v>
      </c>
      <c r="CJ41" s="14">
        <f t="shared" si="12"/>
        <v>1711</v>
      </c>
      <c r="CK41" s="14">
        <v>74593</v>
      </c>
      <c r="CL41" s="14">
        <v>73331</v>
      </c>
      <c r="CM41" s="14">
        <v>80744</v>
      </c>
      <c r="CN41" s="11">
        <f t="shared" si="13"/>
        <v>0.54584786782401773</v>
      </c>
      <c r="CO41" s="14">
        <v>67180</v>
      </c>
      <c r="CP41" s="11">
        <f t="shared" si="14"/>
        <v>0.45415213217598227</v>
      </c>
      <c r="CQ41" s="29">
        <v>9679</v>
      </c>
      <c r="CR41" s="29">
        <v>72931</v>
      </c>
      <c r="CS41" s="29">
        <v>43333</v>
      </c>
      <c r="CT41" s="29">
        <v>18352</v>
      </c>
      <c r="CU41" s="45">
        <v>28681</v>
      </c>
      <c r="CV41" s="45">
        <v>9938</v>
      </c>
      <c r="CW41" s="45">
        <v>12275</v>
      </c>
      <c r="CX41" s="45">
        <v>4270</v>
      </c>
      <c r="CY41" s="45">
        <v>2198</v>
      </c>
      <c r="CZ41" s="45">
        <v>113</v>
      </c>
      <c r="DA41" s="45">
        <v>113</v>
      </c>
      <c r="DB41" s="45">
        <v>112</v>
      </c>
      <c r="DC41" s="45">
        <v>111</v>
      </c>
    </row>
    <row r="42" spans="1:107" x14ac:dyDescent="0.35">
      <c r="A42" s="1" t="s">
        <v>299</v>
      </c>
      <c r="B42" s="5" t="s">
        <v>0</v>
      </c>
      <c r="C42" s="3" t="s">
        <v>300</v>
      </c>
      <c r="D42" s="4" t="s">
        <v>301</v>
      </c>
      <c r="E42" s="5">
        <v>3</v>
      </c>
      <c r="F42" s="5">
        <v>29</v>
      </c>
      <c r="G42" s="2">
        <v>0.8443567121243124</v>
      </c>
      <c r="H42" s="2" t="s">
        <v>1276</v>
      </c>
      <c r="I42" s="9" t="s">
        <v>13</v>
      </c>
      <c r="J4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DR USTAZAH MASTURA </v>
      </c>
      <c r="K42" s="8">
        <v>25737</v>
      </c>
      <c r="L42" s="8" t="s">
        <v>8</v>
      </c>
      <c r="M42" s="7" t="s">
        <v>303</v>
      </c>
      <c r="N42" s="8">
        <v>14214</v>
      </c>
      <c r="O42" s="8"/>
      <c r="P42" s="7"/>
      <c r="Q42" s="8">
        <v>28604</v>
      </c>
      <c r="R42" s="8" t="s">
        <v>12</v>
      </c>
      <c r="S42" s="7" t="s">
        <v>302</v>
      </c>
      <c r="T42" s="10">
        <v>2867</v>
      </c>
      <c r="U42" s="10">
        <v>0</v>
      </c>
      <c r="V42" s="10">
        <v>0</v>
      </c>
      <c r="W42" s="10">
        <v>1</v>
      </c>
      <c r="X42" s="10">
        <v>33722</v>
      </c>
      <c r="Y42" s="12" t="s">
        <v>14</v>
      </c>
      <c r="Z42" s="12" t="s">
        <v>1277</v>
      </c>
      <c r="AA42" s="13" t="s">
        <v>304</v>
      </c>
      <c r="AB42" s="14">
        <v>4736</v>
      </c>
      <c r="AC42" s="15" t="s">
        <v>305</v>
      </c>
      <c r="AD42" s="16">
        <v>34342</v>
      </c>
      <c r="AE42" s="14">
        <v>22459</v>
      </c>
      <c r="AF42" s="14">
        <v>12120</v>
      </c>
      <c r="AG42" s="14">
        <v>17723</v>
      </c>
      <c r="AH42" s="14" t="s">
        <v>17</v>
      </c>
      <c r="AI42" s="15" t="s">
        <v>10</v>
      </c>
      <c r="AJ42" s="14">
        <v>1</v>
      </c>
      <c r="AK42" s="14">
        <v>0</v>
      </c>
      <c r="AL42" s="14">
        <v>0</v>
      </c>
      <c r="AM42" s="14">
        <v>60523</v>
      </c>
      <c r="AN42" s="14">
        <v>47553</v>
      </c>
      <c r="AO42" s="14">
        <v>10300</v>
      </c>
      <c r="AP42" s="14">
        <v>2537</v>
      </c>
      <c r="AQ42" s="14">
        <v>64</v>
      </c>
      <c r="AR42" s="14">
        <v>43</v>
      </c>
      <c r="AS42" s="14">
        <v>25</v>
      </c>
      <c r="AT42" s="14">
        <v>1</v>
      </c>
      <c r="AU42" s="14">
        <v>29409</v>
      </c>
      <c r="AV42" s="14">
        <v>31114</v>
      </c>
      <c r="AW42" s="14">
        <v>24519</v>
      </c>
      <c r="AX42" s="14">
        <v>36004</v>
      </c>
      <c r="AY42" s="14">
        <v>23677.333333333332</v>
      </c>
      <c r="AZ42" s="14">
        <v>83081</v>
      </c>
      <c r="BA42" s="14">
        <v>2</v>
      </c>
      <c r="BB42" s="14">
        <v>686</v>
      </c>
      <c r="BC42" s="14">
        <v>82393</v>
      </c>
      <c r="BD42" s="14">
        <v>66612</v>
      </c>
      <c r="BE42" s="11">
        <f>Table14[[#This Row],[Melayu_Voters_GE15]]/Table14[[#This Row],[All_Voters_GE15]]</f>
        <v>0.80177176490412971</v>
      </c>
      <c r="BF42" s="14">
        <v>12757</v>
      </c>
      <c r="BG42" s="11">
        <f>Table14[[#This Row],[Chinese_Voters_GE15]]/Table14[[#This Row],[All_Voters_GE15]]</f>
        <v>0.15354894620912121</v>
      </c>
      <c r="BH42" s="14">
        <v>3499</v>
      </c>
      <c r="BI42" s="11">
        <f>Table14[[#This Row],[India_Voters_GE15]]/Table14[[#This Row],[All_Voters_GE15]]</f>
        <v>4.2115525812159216E-2</v>
      </c>
      <c r="BJ42" s="14">
        <v>4</v>
      </c>
      <c r="BK42" s="14">
        <v>78</v>
      </c>
      <c r="BL42" s="14">
        <v>44</v>
      </c>
      <c r="BM42" s="14">
        <v>87</v>
      </c>
      <c r="BN42" s="14">
        <f>Table14[[#This Row],[Lain_Voters_GE15]]+Table14[[#This Row],[Swak_Voters_GE15]]+Table14[[#This Row],[Sabah_Voters_GE15]]+Table14[[#This Row],[OA_Voters_GE15]]</f>
        <v>213</v>
      </c>
      <c r="BO42" s="11">
        <f>Table14[[#This Row],[Base_Stock_GE15]]/Table14[[#This Row],[All_Voters_GE15]]</f>
        <v>0.40589304413764882</v>
      </c>
      <c r="BP42" s="14">
        <v>11515</v>
      </c>
      <c r="BQ42" s="10">
        <v>24379</v>
      </c>
      <c r="BR42" s="44">
        <v>17032</v>
      </c>
      <c r="BS42" s="10">
        <v>5641</v>
      </c>
      <c r="BT42" s="10">
        <v>38167</v>
      </c>
      <c r="BU42" s="10">
        <v>26459</v>
      </c>
      <c r="BV42" s="10">
        <v>12814</v>
      </c>
      <c r="BW42" s="10">
        <f t="shared" si="10"/>
        <v>43808</v>
      </c>
      <c r="BX42" s="10">
        <f t="shared" si="11"/>
        <v>39273</v>
      </c>
      <c r="BY42" s="14">
        <v>88071</v>
      </c>
      <c r="BZ42" s="14">
        <v>0</v>
      </c>
      <c r="CA42" s="14">
        <v>583</v>
      </c>
      <c r="CB42" s="14">
        <v>87488</v>
      </c>
      <c r="CC42" s="14">
        <v>71434</v>
      </c>
      <c r="CD42" s="14">
        <v>12845</v>
      </c>
      <c r="CE42" s="14">
        <v>3538</v>
      </c>
      <c r="CF42" s="14">
        <v>5</v>
      </c>
      <c r="CG42" s="14">
        <v>96</v>
      </c>
      <c r="CH42" s="14">
        <v>49</v>
      </c>
      <c r="CI42" s="14">
        <v>104</v>
      </c>
      <c r="CJ42" s="14">
        <f t="shared" si="12"/>
        <v>254</v>
      </c>
      <c r="CK42" s="14">
        <v>43557</v>
      </c>
      <c r="CL42" s="14">
        <v>44514</v>
      </c>
      <c r="CM42" s="14">
        <v>44404</v>
      </c>
      <c r="CN42" s="11">
        <f t="shared" si="13"/>
        <v>0.50418412417254266</v>
      </c>
      <c r="CO42" s="14">
        <v>43667</v>
      </c>
      <c r="CP42" s="11">
        <f t="shared" si="14"/>
        <v>0.4958158758274574</v>
      </c>
      <c r="CQ42" s="29">
        <v>4944</v>
      </c>
      <c r="CR42" s="29">
        <v>38644</v>
      </c>
      <c r="CS42" s="29">
        <v>27013</v>
      </c>
      <c r="CT42" s="29">
        <v>13418</v>
      </c>
      <c r="CU42" s="45">
        <v>22847</v>
      </c>
      <c r="CV42" s="45">
        <v>8454</v>
      </c>
      <c r="CW42" s="45">
        <v>10212</v>
      </c>
      <c r="CX42" s="45">
        <v>2729</v>
      </c>
      <c r="CY42" s="45">
        <v>1452</v>
      </c>
      <c r="CZ42" s="45">
        <v>93</v>
      </c>
      <c r="DA42" s="45">
        <v>93</v>
      </c>
      <c r="DB42" s="45">
        <v>93</v>
      </c>
      <c r="DC42" s="45">
        <v>90</v>
      </c>
    </row>
    <row r="43" spans="1:107" x14ac:dyDescent="0.35">
      <c r="A43" s="1" t="s">
        <v>299</v>
      </c>
      <c r="B43" s="5" t="s">
        <v>0</v>
      </c>
      <c r="C43" s="3" t="s">
        <v>306</v>
      </c>
      <c r="D43" s="4" t="s">
        <v>307</v>
      </c>
      <c r="E43" s="5">
        <v>3</v>
      </c>
      <c r="F43" s="5">
        <v>27</v>
      </c>
      <c r="G43" s="2">
        <v>0.83827966562793688</v>
      </c>
      <c r="H43" s="2" t="s">
        <v>1276</v>
      </c>
      <c r="I43" s="9" t="s">
        <v>13</v>
      </c>
      <c r="J4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WAN SAIFUL WAN JAN </v>
      </c>
      <c r="K43" s="8">
        <v>18864</v>
      </c>
      <c r="L43" s="8" t="s">
        <v>8</v>
      </c>
      <c r="M43" s="7" t="s">
        <v>309</v>
      </c>
      <c r="N43" s="8">
        <v>16547</v>
      </c>
      <c r="O43" s="8" t="s">
        <v>10</v>
      </c>
      <c r="P43" s="7" t="s">
        <v>310</v>
      </c>
      <c r="Q43" s="8">
        <v>31116</v>
      </c>
      <c r="R43" s="8" t="s">
        <v>25</v>
      </c>
      <c r="S43" s="7" t="s">
        <v>308</v>
      </c>
      <c r="T43" s="10">
        <v>12252</v>
      </c>
      <c r="U43" s="10">
        <v>0</v>
      </c>
      <c r="V43" s="10">
        <v>0</v>
      </c>
      <c r="W43" s="10">
        <v>1</v>
      </c>
      <c r="X43" s="10">
        <v>39131</v>
      </c>
      <c r="Y43" s="12" t="s">
        <v>14</v>
      </c>
      <c r="Z43" s="12" t="s">
        <v>1277</v>
      </c>
      <c r="AA43" s="13" t="s">
        <v>311</v>
      </c>
      <c r="AB43" s="14">
        <v>81</v>
      </c>
      <c r="AC43" s="15" t="s">
        <v>312</v>
      </c>
      <c r="AD43" s="16">
        <v>32691</v>
      </c>
      <c r="AE43" s="14">
        <v>18547</v>
      </c>
      <c r="AF43" s="14">
        <v>14891</v>
      </c>
      <c r="AG43" s="14">
        <v>18466</v>
      </c>
      <c r="AH43" s="14" t="s">
        <v>17</v>
      </c>
      <c r="AI43" s="15" t="s">
        <v>18</v>
      </c>
      <c r="AJ43" s="14">
        <v>1</v>
      </c>
      <c r="AK43" s="14">
        <v>0</v>
      </c>
      <c r="AL43" s="14">
        <v>0</v>
      </c>
      <c r="AM43" s="14">
        <v>60850</v>
      </c>
      <c r="AN43" s="14">
        <v>47586</v>
      </c>
      <c r="AO43" s="14">
        <v>8949</v>
      </c>
      <c r="AP43" s="14">
        <v>4037</v>
      </c>
      <c r="AQ43" s="14">
        <v>97</v>
      </c>
      <c r="AR43" s="14">
        <v>93</v>
      </c>
      <c r="AS43" s="14">
        <v>87</v>
      </c>
      <c r="AT43" s="14">
        <v>1</v>
      </c>
      <c r="AU43" s="14">
        <v>29605</v>
      </c>
      <c r="AV43" s="14">
        <v>31245</v>
      </c>
      <c r="AW43" s="14">
        <v>25777</v>
      </c>
      <c r="AX43" s="14">
        <v>35073</v>
      </c>
      <c r="AY43" s="14">
        <v>21129.333333333332</v>
      </c>
      <c r="AZ43" s="14">
        <v>80868</v>
      </c>
      <c r="BA43" s="14">
        <v>6</v>
      </c>
      <c r="BB43" s="14">
        <v>2607</v>
      </c>
      <c r="BC43" s="14">
        <v>78255</v>
      </c>
      <c r="BD43" s="14">
        <v>63229</v>
      </c>
      <c r="BE43" s="11">
        <f>Table14[[#This Row],[Melayu_Voters_GE15]]/Table14[[#This Row],[All_Voters_GE15]]</f>
        <v>0.78187911163871993</v>
      </c>
      <c r="BF43" s="14">
        <v>12125</v>
      </c>
      <c r="BG43" s="11">
        <f>Table14[[#This Row],[Chinese_Voters_GE15]]/Table14[[#This Row],[All_Voters_GE15]]</f>
        <v>0.14993569768017015</v>
      </c>
      <c r="BH43" s="14">
        <v>5128</v>
      </c>
      <c r="BI43" s="11">
        <f>Table14[[#This Row],[India_Voters_GE15]]/Table14[[#This Row],[All_Voters_GE15]]</f>
        <v>6.3411980016817526E-2</v>
      </c>
      <c r="BJ43" s="14">
        <v>4</v>
      </c>
      <c r="BK43" s="14">
        <v>140</v>
      </c>
      <c r="BL43" s="14">
        <v>125</v>
      </c>
      <c r="BM43" s="14">
        <v>117</v>
      </c>
      <c r="BN43" s="14">
        <f>Table14[[#This Row],[Lain_Voters_GE15]]+Table14[[#This Row],[Swak_Voters_GE15]]+Table14[[#This Row],[Sabah_Voters_GE15]]+Table14[[#This Row],[OA_Voters_GE15]]</f>
        <v>386</v>
      </c>
      <c r="BO43" s="11">
        <f>Table14[[#This Row],[Base_Stock_GE15]]/Table14[[#This Row],[All_Voters_GE15]]</f>
        <v>0.48388732255032896</v>
      </c>
      <c r="BP43" s="14">
        <v>31827</v>
      </c>
      <c r="BQ43" s="10">
        <v>22626</v>
      </c>
      <c r="BR43" s="44">
        <v>14802</v>
      </c>
      <c r="BS43" s="10">
        <v>4769</v>
      </c>
      <c r="BT43" s="10">
        <v>38069</v>
      </c>
      <c r="BU43" s="10">
        <v>25306</v>
      </c>
      <c r="BV43" s="10">
        <v>12724</v>
      </c>
      <c r="BW43" s="10">
        <f t="shared" si="10"/>
        <v>42838</v>
      </c>
      <c r="BX43" s="10">
        <f t="shared" si="11"/>
        <v>38030</v>
      </c>
      <c r="BY43" s="14">
        <v>84324</v>
      </c>
      <c r="BZ43" s="14">
        <v>0</v>
      </c>
      <c r="CA43" s="14">
        <v>2196</v>
      </c>
      <c r="CB43" s="14">
        <v>82128</v>
      </c>
      <c r="CC43" s="14">
        <v>66294</v>
      </c>
      <c r="CD43" s="14">
        <v>12493</v>
      </c>
      <c r="CE43" s="14">
        <v>5130</v>
      </c>
      <c r="CF43" s="14">
        <v>4</v>
      </c>
      <c r="CG43" s="14">
        <v>155</v>
      </c>
      <c r="CH43" s="14">
        <v>123</v>
      </c>
      <c r="CI43" s="14">
        <v>125</v>
      </c>
      <c r="CJ43" s="14">
        <f t="shared" si="12"/>
        <v>407</v>
      </c>
      <c r="CK43" s="14">
        <v>41612</v>
      </c>
      <c r="CL43" s="14">
        <v>42712</v>
      </c>
      <c r="CM43" s="14">
        <v>41845</v>
      </c>
      <c r="CN43" s="11">
        <f t="shared" si="13"/>
        <v>0.49624069066932308</v>
      </c>
      <c r="CO43" s="14">
        <v>42479</v>
      </c>
      <c r="CP43" s="11">
        <f t="shared" si="14"/>
        <v>0.50375930933067692</v>
      </c>
      <c r="CQ43" s="29">
        <v>4093</v>
      </c>
      <c r="CR43" s="29">
        <v>37933</v>
      </c>
      <c r="CS43" s="29">
        <v>25812</v>
      </c>
      <c r="CT43" s="29">
        <v>13322</v>
      </c>
      <c r="CU43" s="45">
        <v>19593</v>
      </c>
      <c r="CV43" s="45">
        <v>7174</v>
      </c>
      <c r="CW43" s="45">
        <v>9298</v>
      </c>
      <c r="CX43" s="45">
        <v>2023</v>
      </c>
      <c r="CY43" s="45">
        <v>1098</v>
      </c>
      <c r="CZ43" s="45">
        <v>87</v>
      </c>
      <c r="DA43" s="45">
        <v>87</v>
      </c>
      <c r="DB43" s="45">
        <v>86</v>
      </c>
      <c r="DC43" s="45">
        <v>80</v>
      </c>
    </row>
    <row r="44" spans="1:107" x14ac:dyDescent="0.35">
      <c r="A44" s="1" t="s">
        <v>299</v>
      </c>
      <c r="B44" s="5" t="s">
        <v>0</v>
      </c>
      <c r="C44" s="3" t="s">
        <v>313</v>
      </c>
      <c r="D44" s="4" t="s">
        <v>314</v>
      </c>
      <c r="E44" s="5">
        <v>3</v>
      </c>
      <c r="F44" s="5">
        <v>24</v>
      </c>
      <c r="G44" s="2">
        <v>0.77717531051907829</v>
      </c>
      <c r="H44" s="2" t="s">
        <v>1276</v>
      </c>
      <c r="I44" s="17" t="s">
        <v>121</v>
      </c>
      <c r="J4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LIM GUAN ENG </v>
      </c>
      <c r="K44" s="8">
        <v>5385</v>
      </c>
      <c r="L44" s="8" t="s">
        <v>77</v>
      </c>
      <c r="M44" s="7" t="s">
        <v>316</v>
      </c>
      <c r="N44" s="8">
        <v>55797</v>
      </c>
      <c r="O44" s="8" t="s">
        <v>102</v>
      </c>
      <c r="P44" s="7" t="s">
        <v>315</v>
      </c>
      <c r="Q44" s="8">
        <v>6149</v>
      </c>
      <c r="R44" s="8" t="s">
        <v>317</v>
      </c>
      <c r="S44" s="7" t="s">
        <v>318</v>
      </c>
      <c r="T44" s="10">
        <v>49648</v>
      </c>
      <c r="U44" s="10">
        <v>0</v>
      </c>
      <c r="V44" s="10">
        <v>1</v>
      </c>
      <c r="W44" s="10">
        <v>0</v>
      </c>
      <c r="X44" s="10">
        <v>3412</v>
      </c>
      <c r="Y44" s="12" t="s">
        <v>319</v>
      </c>
      <c r="Z44" s="12" t="s">
        <v>1277</v>
      </c>
      <c r="AA44" s="13" t="s">
        <v>320</v>
      </c>
      <c r="AB44" s="14">
        <v>43902</v>
      </c>
      <c r="AC44" s="15" t="s">
        <v>270</v>
      </c>
      <c r="AD44" s="16">
        <v>10353</v>
      </c>
      <c r="AE44" s="14">
        <v>7751</v>
      </c>
      <c r="AF44" s="14"/>
      <c r="AG44" s="14">
        <v>51653</v>
      </c>
      <c r="AH44" s="14" t="s">
        <v>82</v>
      </c>
      <c r="AI44" s="15" t="s">
        <v>321</v>
      </c>
      <c r="AJ44" s="14">
        <v>0</v>
      </c>
      <c r="AK44" s="14">
        <v>1</v>
      </c>
      <c r="AL44" s="14">
        <v>0</v>
      </c>
      <c r="AM44" s="14">
        <v>71583</v>
      </c>
      <c r="AN44" s="14">
        <v>9553</v>
      </c>
      <c r="AO44" s="14">
        <v>51015</v>
      </c>
      <c r="AP44" s="14">
        <v>10775</v>
      </c>
      <c r="AQ44" s="14">
        <v>182</v>
      </c>
      <c r="AR44" s="14">
        <v>41</v>
      </c>
      <c r="AS44" s="14">
        <v>17</v>
      </c>
      <c r="AT44" s="14">
        <v>0</v>
      </c>
      <c r="AU44" s="14">
        <v>34906</v>
      </c>
      <c r="AV44" s="14">
        <v>36677</v>
      </c>
      <c r="AW44" s="14">
        <v>22286</v>
      </c>
      <c r="AX44" s="14">
        <v>49297</v>
      </c>
      <c r="AY44" s="14">
        <v>10578.666666666666</v>
      </c>
      <c r="AZ44" s="14">
        <v>89447</v>
      </c>
      <c r="BA44" s="14">
        <v>4</v>
      </c>
      <c r="BB44" s="14">
        <v>179</v>
      </c>
      <c r="BC44" s="14">
        <v>89264</v>
      </c>
      <c r="BD44" s="14">
        <v>13042</v>
      </c>
      <c r="BE44" s="11">
        <f>Table14[[#This Row],[Melayu_Voters_GE15]]/Table14[[#This Row],[All_Voters_GE15]]</f>
        <v>0.1458070142095319</v>
      </c>
      <c r="BF44" s="14">
        <v>61983</v>
      </c>
      <c r="BG44" s="11">
        <f>Table14[[#This Row],[Chinese_Voters_GE15]]/Table14[[#This Row],[All_Voters_GE15]]</f>
        <v>0.69295784095609692</v>
      </c>
      <c r="BH44" s="14">
        <v>14043</v>
      </c>
      <c r="BI44" s="11">
        <f>Table14[[#This Row],[India_Voters_GE15]]/Table14[[#This Row],[All_Voters_GE15]]</f>
        <v>0.1569979988149407</v>
      </c>
      <c r="BJ44" s="14">
        <v>1</v>
      </c>
      <c r="BK44" s="14">
        <v>117</v>
      </c>
      <c r="BL44" s="14">
        <v>40</v>
      </c>
      <c r="BM44" s="14">
        <v>221</v>
      </c>
      <c r="BN44" s="14">
        <f>Table14[[#This Row],[Lain_Voters_GE15]]+Table14[[#This Row],[Swak_Voters_GE15]]+Table14[[#This Row],[Sabah_Voters_GE15]]+Table14[[#This Row],[OA_Voters_GE15]]</f>
        <v>379</v>
      </c>
      <c r="BO44" s="11">
        <f>Table14[[#This Row],[Base_Stock_GE15]]/Table14[[#This Row],[All_Voters_GE15]]</f>
        <v>3.8145493979675114E-2</v>
      </c>
      <c r="BP44" s="14">
        <v>114</v>
      </c>
      <c r="BQ44" s="10">
        <v>21046</v>
      </c>
      <c r="BR44" s="44">
        <v>11885</v>
      </c>
      <c r="BS44" s="10">
        <v>3891</v>
      </c>
      <c r="BT44" s="10">
        <v>32611</v>
      </c>
      <c r="BU44" s="10">
        <v>31766</v>
      </c>
      <c r="BV44" s="10">
        <v>21179</v>
      </c>
      <c r="BW44" s="10">
        <f t="shared" si="10"/>
        <v>36502</v>
      </c>
      <c r="BX44" s="10">
        <f t="shared" si="11"/>
        <v>52945</v>
      </c>
      <c r="BY44" s="14">
        <v>90864</v>
      </c>
      <c r="BZ44" s="14">
        <v>0</v>
      </c>
      <c r="CA44" s="14">
        <v>160</v>
      </c>
      <c r="CB44" s="14">
        <v>90704</v>
      </c>
      <c r="CC44" s="14">
        <v>13635</v>
      </c>
      <c r="CD44" s="14">
        <v>62615</v>
      </c>
      <c r="CE44" s="14">
        <v>14211</v>
      </c>
      <c r="CF44" s="14">
        <v>3</v>
      </c>
      <c r="CG44" s="14">
        <v>125</v>
      </c>
      <c r="CH44" s="14">
        <v>42</v>
      </c>
      <c r="CI44" s="14">
        <v>233</v>
      </c>
      <c r="CJ44" s="14">
        <f t="shared" si="12"/>
        <v>403</v>
      </c>
      <c r="CK44" s="14">
        <v>44605</v>
      </c>
      <c r="CL44" s="14">
        <v>46259</v>
      </c>
      <c r="CM44" s="14">
        <v>34098</v>
      </c>
      <c r="CN44" s="11">
        <f t="shared" si="13"/>
        <v>0.37526413100898043</v>
      </c>
      <c r="CO44" s="14">
        <v>56766</v>
      </c>
      <c r="CP44" s="11">
        <f t="shared" si="14"/>
        <v>0.62473586899101952</v>
      </c>
      <c r="CQ44" s="29">
        <v>3276</v>
      </c>
      <c r="CR44" s="29">
        <v>32268</v>
      </c>
      <c r="CS44" s="29">
        <v>31825</v>
      </c>
      <c r="CT44" s="29">
        <v>22144</v>
      </c>
      <c r="CU44" s="45">
        <v>11466</v>
      </c>
      <c r="CV44" s="45">
        <v>4252</v>
      </c>
      <c r="CW44" s="45">
        <v>4715</v>
      </c>
      <c r="CX44" s="45">
        <v>1447</v>
      </c>
      <c r="CY44" s="45">
        <v>1052</v>
      </c>
      <c r="CZ44" s="45">
        <v>64</v>
      </c>
      <c r="DA44" s="45">
        <v>64</v>
      </c>
      <c r="DB44" s="45">
        <v>63</v>
      </c>
      <c r="DC44" s="45">
        <v>49</v>
      </c>
    </row>
    <row r="45" spans="1:107" x14ac:dyDescent="0.35">
      <c r="A45" s="1" t="s">
        <v>299</v>
      </c>
      <c r="B45" s="5" t="s">
        <v>0</v>
      </c>
      <c r="C45" s="3" t="s">
        <v>322</v>
      </c>
      <c r="D45" s="4" t="s">
        <v>323</v>
      </c>
      <c r="E45" s="5">
        <v>3</v>
      </c>
      <c r="F45" s="5">
        <v>28</v>
      </c>
      <c r="G45" s="2">
        <v>0.82337245535797587</v>
      </c>
      <c r="H45" s="2" t="s">
        <v>1276</v>
      </c>
      <c r="I45" s="9" t="s">
        <v>13</v>
      </c>
      <c r="J4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 FAWWAZ MD JAN </v>
      </c>
      <c r="K45" s="8">
        <v>16971</v>
      </c>
      <c r="L45" s="8" t="s">
        <v>8</v>
      </c>
      <c r="M45" s="7" t="s">
        <v>325</v>
      </c>
      <c r="N45" s="8">
        <v>32366</v>
      </c>
      <c r="O45" s="8" t="s">
        <v>23</v>
      </c>
      <c r="P45" s="7" t="s">
        <v>326</v>
      </c>
      <c r="Q45" s="8">
        <v>37638</v>
      </c>
      <c r="R45" s="8" t="s">
        <v>12</v>
      </c>
      <c r="S45" s="7" t="s">
        <v>324</v>
      </c>
      <c r="T45" s="10">
        <v>5272</v>
      </c>
      <c r="U45" s="10">
        <v>0</v>
      </c>
      <c r="V45" s="10">
        <v>0</v>
      </c>
      <c r="W45" s="10">
        <v>1</v>
      </c>
      <c r="X45" s="10">
        <v>25124</v>
      </c>
      <c r="Y45" s="12" t="s">
        <v>26</v>
      </c>
      <c r="Z45" s="12" t="s">
        <v>1277</v>
      </c>
      <c r="AA45" s="13" t="s">
        <v>327</v>
      </c>
      <c r="AB45" s="14">
        <v>15668</v>
      </c>
      <c r="AC45" s="15" t="s">
        <v>328</v>
      </c>
      <c r="AD45" s="16">
        <v>22894</v>
      </c>
      <c r="AE45" s="14">
        <v>19866</v>
      </c>
      <c r="AF45" s="14">
        <v>14428</v>
      </c>
      <c r="AG45" s="14">
        <v>35534</v>
      </c>
      <c r="AH45" s="14" t="s">
        <v>17</v>
      </c>
      <c r="AI45" s="15" t="s">
        <v>29</v>
      </c>
      <c r="AJ45" s="14">
        <v>0</v>
      </c>
      <c r="AK45" s="14">
        <v>1</v>
      </c>
      <c r="AL45" s="14">
        <v>0</v>
      </c>
      <c r="AM45" s="51">
        <v>81789</v>
      </c>
      <c r="AN45" s="51">
        <v>58834</v>
      </c>
      <c r="AO45" s="51">
        <v>17510</v>
      </c>
      <c r="AP45" s="51">
        <v>5078</v>
      </c>
      <c r="AQ45" s="51">
        <v>255</v>
      </c>
      <c r="AR45" s="51">
        <v>68</v>
      </c>
      <c r="AS45" s="51">
        <v>41</v>
      </c>
      <c r="AT45" s="51">
        <v>3</v>
      </c>
      <c r="AU45" s="51">
        <v>39782</v>
      </c>
      <c r="AV45" s="51">
        <v>42007</v>
      </c>
      <c r="AW45" s="51">
        <v>31808</v>
      </c>
      <c r="AX45" s="51">
        <v>49981</v>
      </c>
      <c r="AY45" s="14">
        <v>20728.333333333332</v>
      </c>
      <c r="AZ45" s="14">
        <v>107186</v>
      </c>
      <c r="BA45" s="14">
        <v>12</v>
      </c>
      <c r="BB45" s="14">
        <v>762</v>
      </c>
      <c r="BC45" s="14">
        <v>106412</v>
      </c>
      <c r="BD45" s="14">
        <v>78736</v>
      </c>
      <c r="BE45" s="11">
        <f>Table14[[#This Row],[Melayu_Voters_GE15]]/Table14[[#This Row],[All_Voters_GE15]]</f>
        <v>0.73457354505252548</v>
      </c>
      <c r="BF45" s="14">
        <v>20764</v>
      </c>
      <c r="BG45" s="11">
        <f>Table14[[#This Row],[Chinese_Voters_GE15]]/Table14[[#This Row],[All_Voters_GE15]]</f>
        <v>0.19371932901684921</v>
      </c>
      <c r="BH45" s="14">
        <v>7112</v>
      </c>
      <c r="BI45" s="11">
        <f>Table14[[#This Row],[India_Voters_GE15]]/Table14[[#This Row],[All_Voters_GE15]]</f>
        <v>6.6351948948556713E-2</v>
      </c>
      <c r="BJ45" s="14">
        <v>8</v>
      </c>
      <c r="BK45" s="14">
        <v>176</v>
      </c>
      <c r="BL45" s="14">
        <v>87</v>
      </c>
      <c r="BM45" s="14">
        <v>303</v>
      </c>
      <c r="BN45" s="14">
        <f>Table14[[#This Row],[Lain_Voters_GE15]]+Table14[[#This Row],[Swak_Voters_GE15]]+Table14[[#This Row],[Sabah_Voters_GE15]]+Table14[[#This Row],[OA_Voters_GE15]]</f>
        <v>574</v>
      </c>
      <c r="BO45" s="11">
        <f>Table14[[#This Row],[Base_Stock_GE15]]/Table14[[#This Row],[All_Voters_GE15]]</f>
        <v>0.23439628309667307</v>
      </c>
      <c r="BP45" s="14">
        <v>19877</v>
      </c>
      <c r="BQ45" s="10">
        <v>28594</v>
      </c>
      <c r="BR45" s="44">
        <v>18441</v>
      </c>
      <c r="BS45" s="10">
        <v>6134</v>
      </c>
      <c r="BT45" s="10">
        <v>47207</v>
      </c>
      <c r="BU45" s="10">
        <v>35355</v>
      </c>
      <c r="BV45" s="10">
        <v>18490</v>
      </c>
      <c r="BW45" s="10">
        <f t="shared" si="10"/>
        <v>53341</v>
      </c>
      <c r="BX45" s="10">
        <f t="shared" si="11"/>
        <v>53845</v>
      </c>
      <c r="BY45" s="14">
        <v>111253</v>
      </c>
      <c r="BZ45" s="14">
        <v>0</v>
      </c>
      <c r="CA45" s="14">
        <v>756</v>
      </c>
      <c r="CB45" s="14">
        <v>110497</v>
      </c>
      <c r="CC45" s="14">
        <v>82755</v>
      </c>
      <c r="CD45" s="14">
        <v>20652</v>
      </c>
      <c r="CE45" s="14">
        <v>7230</v>
      </c>
      <c r="CF45" s="14">
        <v>8</v>
      </c>
      <c r="CG45" s="14">
        <v>190</v>
      </c>
      <c r="CH45" s="14">
        <v>92</v>
      </c>
      <c r="CI45" s="14">
        <v>326</v>
      </c>
      <c r="CJ45" s="14">
        <f t="shared" si="12"/>
        <v>616</v>
      </c>
      <c r="CK45" s="14">
        <v>54711</v>
      </c>
      <c r="CL45" s="14">
        <v>56542</v>
      </c>
      <c r="CM45" s="14">
        <v>51869</v>
      </c>
      <c r="CN45" s="11">
        <f t="shared" si="13"/>
        <v>0.46622562987065519</v>
      </c>
      <c r="CO45" s="14">
        <v>59384</v>
      </c>
      <c r="CP45" s="11">
        <f t="shared" si="14"/>
        <v>0.53377437012934481</v>
      </c>
      <c r="CQ45" s="29">
        <v>5189</v>
      </c>
      <c r="CR45" s="29">
        <v>47290</v>
      </c>
      <c r="CS45" s="29">
        <v>35676</v>
      </c>
      <c r="CT45" s="29">
        <v>19458</v>
      </c>
      <c r="CU45" s="45">
        <v>12189</v>
      </c>
      <c r="CV45" s="45">
        <v>4148</v>
      </c>
      <c r="CW45" s="45">
        <v>5739</v>
      </c>
      <c r="CX45" s="45">
        <v>1624</v>
      </c>
      <c r="CY45" s="45">
        <v>678</v>
      </c>
      <c r="CZ45" s="45">
        <v>105</v>
      </c>
      <c r="DA45" s="45">
        <v>105</v>
      </c>
      <c r="DB45" s="45">
        <v>102</v>
      </c>
      <c r="DC45" s="45">
        <v>81</v>
      </c>
    </row>
    <row r="46" spans="1:107" x14ac:dyDescent="0.35">
      <c r="A46" s="1" t="s">
        <v>299</v>
      </c>
      <c r="B46" s="5" t="s">
        <v>0</v>
      </c>
      <c r="C46" s="3" t="s">
        <v>329</v>
      </c>
      <c r="D46" s="4" t="s">
        <v>330</v>
      </c>
      <c r="E46" s="5">
        <v>3</v>
      </c>
      <c r="F46" s="5">
        <v>26</v>
      </c>
      <c r="G46" s="2">
        <v>0.77549888676449896</v>
      </c>
      <c r="H46" s="2" t="s">
        <v>1276</v>
      </c>
      <c r="I46" s="17" t="s">
        <v>121</v>
      </c>
      <c r="J4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STEVEN SIM CHEE KEONG </v>
      </c>
      <c r="K46" s="8">
        <v>6986</v>
      </c>
      <c r="L46" s="8" t="s">
        <v>77</v>
      </c>
      <c r="M46" s="7" t="s">
        <v>332</v>
      </c>
      <c r="N46" s="8">
        <v>71722</v>
      </c>
      <c r="O46" s="8" t="s">
        <v>102</v>
      </c>
      <c r="P46" s="7" t="s">
        <v>331</v>
      </c>
      <c r="Q46" s="8">
        <v>14037</v>
      </c>
      <c r="R46" s="8" t="s">
        <v>12</v>
      </c>
      <c r="S46" s="7" t="s">
        <v>333</v>
      </c>
      <c r="T46" s="10">
        <v>57685</v>
      </c>
      <c r="U46" s="10">
        <v>0</v>
      </c>
      <c r="V46" s="10">
        <v>1</v>
      </c>
      <c r="W46" s="10">
        <v>0</v>
      </c>
      <c r="X46" s="10">
        <v>8655</v>
      </c>
      <c r="Y46" s="12" t="s">
        <v>319</v>
      </c>
      <c r="Z46" s="12" t="s">
        <v>1277</v>
      </c>
      <c r="AA46" s="13" t="s">
        <v>334</v>
      </c>
      <c r="AB46" s="14">
        <v>52877</v>
      </c>
      <c r="AC46" s="15" t="s">
        <v>256</v>
      </c>
      <c r="AD46" s="16">
        <v>12041</v>
      </c>
      <c r="AE46" s="14">
        <v>10907</v>
      </c>
      <c r="AF46" s="14"/>
      <c r="AG46" s="14">
        <v>63784</v>
      </c>
      <c r="AH46" s="14" t="s">
        <v>82</v>
      </c>
      <c r="AI46" s="15" t="s">
        <v>321</v>
      </c>
      <c r="AJ46" s="14">
        <v>0</v>
      </c>
      <c r="AK46" s="14">
        <v>1</v>
      </c>
      <c r="AL46" s="14">
        <v>0</v>
      </c>
      <c r="AM46" s="14">
        <v>88998</v>
      </c>
      <c r="AN46" s="14">
        <v>17211</v>
      </c>
      <c r="AO46" s="14">
        <v>62620</v>
      </c>
      <c r="AP46" s="14">
        <v>8888</v>
      </c>
      <c r="AQ46" s="14">
        <v>201</v>
      </c>
      <c r="AR46" s="14">
        <v>55</v>
      </c>
      <c r="AS46" s="14">
        <v>23</v>
      </c>
      <c r="AT46" s="14">
        <v>0</v>
      </c>
      <c r="AU46" s="14">
        <v>42819</v>
      </c>
      <c r="AV46" s="14">
        <v>46179</v>
      </c>
      <c r="AW46" s="14">
        <v>31960</v>
      </c>
      <c r="AX46" s="14">
        <v>57038</v>
      </c>
      <c r="AY46" s="14">
        <v>15257</v>
      </c>
      <c r="AZ46" s="14">
        <v>120819</v>
      </c>
      <c r="BA46" s="14">
        <v>11</v>
      </c>
      <c r="BB46" s="14">
        <v>42</v>
      </c>
      <c r="BC46" s="14">
        <v>120766</v>
      </c>
      <c r="BD46" s="14">
        <v>25858</v>
      </c>
      <c r="BE46" s="11">
        <f>Table14[[#This Row],[Melayu_Voters_GE15]]/Table14[[#This Row],[All_Voters_GE15]]</f>
        <v>0.21402262889115123</v>
      </c>
      <c r="BF46" s="14">
        <v>81266</v>
      </c>
      <c r="BG46" s="11">
        <f>Table14[[#This Row],[Chinese_Voters_GE15]]/Table14[[#This Row],[All_Voters_GE15]]</f>
        <v>0.67262599425587033</v>
      </c>
      <c r="BH46" s="14">
        <v>13224</v>
      </c>
      <c r="BI46" s="11">
        <f>Table14[[#This Row],[India_Voters_GE15]]/Table14[[#This Row],[All_Voters_GE15]]</f>
        <v>0.10945298338837435</v>
      </c>
      <c r="BJ46" s="14">
        <v>1</v>
      </c>
      <c r="BK46" s="14">
        <v>151</v>
      </c>
      <c r="BL46" s="14">
        <v>59</v>
      </c>
      <c r="BM46" s="14">
        <v>260</v>
      </c>
      <c r="BN46" s="14">
        <f>Table14[[#This Row],[Lain_Voters_GE15]]+Table14[[#This Row],[Swak_Voters_GE15]]+Table14[[#This Row],[Sabah_Voters_GE15]]+Table14[[#This Row],[OA_Voters_GE15]]</f>
        <v>471</v>
      </c>
      <c r="BO46" s="11">
        <f>Table14[[#This Row],[Base_Stock_GE15]]/Table14[[#This Row],[All_Voters_GE15]]</f>
        <v>7.1636083728552624E-2</v>
      </c>
      <c r="BP46" s="14">
        <v>264</v>
      </c>
      <c r="BQ46" s="10">
        <v>34776</v>
      </c>
      <c r="BR46" s="44">
        <v>19897</v>
      </c>
      <c r="BS46" s="10">
        <v>6519</v>
      </c>
      <c r="BT46" s="10">
        <v>50746</v>
      </c>
      <c r="BU46" s="10">
        <v>39286</v>
      </c>
      <c r="BV46" s="10">
        <v>24268</v>
      </c>
      <c r="BW46" s="10">
        <f t="shared" si="10"/>
        <v>57265</v>
      </c>
      <c r="BX46" s="10">
        <f t="shared" si="11"/>
        <v>63554</v>
      </c>
      <c r="BY46" s="14">
        <v>125210</v>
      </c>
      <c r="BZ46" s="14">
        <v>0</v>
      </c>
      <c r="CA46" s="14">
        <v>48</v>
      </c>
      <c r="CB46" s="14">
        <v>125162</v>
      </c>
      <c r="CC46" s="14">
        <v>27641</v>
      </c>
      <c r="CD46" s="14">
        <v>83307</v>
      </c>
      <c r="CE46" s="14">
        <v>13733</v>
      </c>
      <c r="CF46" s="14">
        <v>3</v>
      </c>
      <c r="CG46" s="14">
        <v>176</v>
      </c>
      <c r="CH46" s="14">
        <v>63</v>
      </c>
      <c r="CI46" s="14">
        <v>287</v>
      </c>
      <c r="CJ46" s="14">
        <f t="shared" si="12"/>
        <v>529</v>
      </c>
      <c r="CK46" s="14">
        <v>61167</v>
      </c>
      <c r="CL46" s="14">
        <v>64043</v>
      </c>
      <c r="CM46" s="14">
        <v>55361</v>
      </c>
      <c r="CN46" s="11">
        <f t="shared" si="13"/>
        <v>0.44214519607060138</v>
      </c>
      <c r="CO46" s="14">
        <v>69849</v>
      </c>
      <c r="CP46" s="11">
        <f t="shared" si="14"/>
        <v>0.55785480392939857</v>
      </c>
      <c r="CQ46" s="29">
        <v>5387</v>
      </c>
      <c r="CR46" s="29">
        <v>50882</v>
      </c>
      <c r="CS46" s="29">
        <v>39784</v>
      </c>
      <c r="CT46" s="29">
        <v>25371</v>
      </c>
      <c r="CU46" s="45">
        <v>4735</v>
      </c>
      <c r="CV46" s="45">
        <v>1393</v>
      </c>
      <c r="CW46" s="45">
        <v>2212</v>
      </c>
      <c r="CX46" s="45">
        <v>695</v>
      </c>
      <c r="CY46" s="45">
        <v>435</v>
      </c>
      <c r="CZ46" s="45">
        <v>36</v>
      </c>
      <c r="DA46" s="45">
        <v>36</v>
      </c>
      <c r="DB46" s="45">
        <v>36</v>
      </c>
      <c r="DC46" s="45">
        <v>36</v>
      </c>
    </row>
    <row r="47" spans="1:107" x14ac:dyDescent="0.35">
      <c r="A47" s="1" t="s">
        <v>299</v>
      </c>
      <c r="B47" s="5" t="s">
        <v>0</v>
      </c>
      <c r="C47" s="3" t="s">
        <v>335</v>
      </c>
      <c r="D47" s="4" t="s">
        <v>336</v>
      </c>
      <c r="E47" s="5">
        <v>3</v>
      </c>
      <c r="F47" s="5">
        <v>24</v>
      </c>
      <c r="G47" s="2">
        <v>0.78546817997567897</v>
      </c>
      <c r="H47" s="2" t="s">
        <v>1276</v>
      </c>
      <c r="I47" s="17" t="s">
        <v>121</v>
      </c>
      <c r="J4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CHOW KON YEOW </v>
      </c>
      <c r="K47" s="8">
        <v>7145</v>
      </c>
      <c r="L47" s="8" t="s">
        <v>77</v>
      </c>
      <c r="M47" s="7" t="s">
        <v>338</v>
      </c>
      <c r="N47" s="8">
        <v>50744</v>
      </c>
      <c r="O47" s="8" t="s">
        <v>102</v>
      </c>
      <c r="P47" s="7" t="s">
        <v>337</v>
      </c>
      <c r="Q47" s="8">
        <v>10344</v>
      </c>
      <c r="R47" s="8" t="s">
        <v>339</v>
      </c>
      <c r="S47" s="7" t="s">
        <v>340</v>
      </c>
      <c r="T47" s="10">
        <v>40400</v>
      </c>
      <c r="U47" s="10">
        <v>0</v>
      </c>
      <c r="V47" s="10">
        <v>1</v>
      </c>
      <c r="W47" s="10">
        <v>0</v>
      </c>
      <c r="X47" s="10">
        <v>8537</v>
      </c>
      <c r="Y47" s="12" t="s">
        <v>319</v>
      </c>
      <c r="Z47" s="12" t="s">
        <v>1277</v>
      </c>
      <c r="AA47" s="13" t="s">
        <v>341</v>
      </c>
      <c r="AB47" s="14">
        <v>33553</v>
      </c>
      <c r="AC47" s="15" t="s">
        <v>291</v>
      </c>
      <c r="AD47" s="16">
        <v>16221</v>
      </c>
      <c r="AE47" s="14">
        <v>9130</v>
      </c>
      <c r="AF47" s="14">
        <v>2636</v>
      </c>
      <c r="AG47" s="14">
        <v>42683</v>
      </c>
      <c r="AH47" s="14" t="s">
        <v>339</v>
      </c>
      <c r="AI47" s="15" t="s">
        <v>321</v>
      </c>
      <c r="AJ47" s="14">
        <v>0</v>
      </c>
      <c r="AK47" s="14">
        <v>1</v>
      </c>
      <c r="AL47" s="14">
        <v>0</v>
      </c>
      <c r="AM47" s="14">
        <v>65394</v>
      </c>
      <c r="AN47" s="14">
        <v>13679</v>
      </c>
      <c r="AO47" s="14">
        <v>36533</v>
      </c>
      <c r="AP47" s="14">
        <v>14914</v>
      </c>
      <c r="AQ47" s="14">
        <v>168</v>
      </c>
      <c r="AR47" s="14">
        <v>66</v>
      </c>
      <c r="AS47" s="14">
        <v>33</v>
      </c>
      <c r="AT47" s="14">
        <v>1</v>
      </c>
      <c r="AU47" s="14">
        <v>31436</v>
      </c>
      <c r="AV47" s="14">
        <v>33958</v>
      </c>
      <c r="AW47" s="14">
        <v>23641</v>
      </c>
      <c r="AX47" s="14">
        <v>41753</v>
      </c>
      <c r="AY47" s="14">
        <v>11128.666666666666</v>
      </c>
      <c r="AZ47" s="14">
        <v>88812</v>
      </c>
      <c r="BA47" s="14">
        <v>0</v>
      </c>
      <c r="BB47" s="14">
        <v>198</v>
      </c>
      <c r="BC47" s="14">
        <v>88614</v>
      </c>
      <c r="BD47" s="14">
        <v>20635</v>
      </c>
      <c r="BE47" s="11">
        <f>Table14[[#This Row],[Melayu_Voters_GE15]]/Table14[[#This Row],[All_Voters_GE15]]</f>
        <v>0.23234472818988425</v>
      </c>
      <c r="BF47" s="14">
        <v>47928</v>
      </c>
      <c r="BG47" s="11">
        <f>Table14[[#This Row],[Chinese_Voters_GE15]]/Table14[[#This Row],[All_Voters_GE15]]</f>
        <v>0.53965680313471154</v>
      </c>
      <c r="BH47" s="14">
        <v>19801</v>
      </c>
      <c r="BI47" s="11">
        <f>Table14[[#This Row],[India_Voters_GE15]]/Table14[[#This Row],[All_Voters_GE15]]</f>
        <v>0.22295410530108545</v>
      </c>
      <c r="BJ47" s="14">
        <v>2</v>
      </c>
      <c r="BK47" s="14">
        <v>180</v>
      </c>
      <c r="BL47" s="14">
        <v>58</v>
      </c>
      <c r="BM47" s="14">
        <v>208</v>
      </c>
      <c r="BN47" s="14">
        <f>Table14[[#This Row],[Lain_Voters_GE15]]+Table14[[#This Row],[Swak_Voters_GE15]]+Table14[[#This Row],[Sabah_Voters_GE15]]+Table14[[#This Row],[OA_Voters_GE15]]</f>
        <v>448</v>
      </c>
      <c r="BO47" s="11">
        <f>Table14[[#This Row],[Base_Stock_GE15]]/Table14[[#This Row],[All_Voters_GE15]]</f>
        <v>9.6124397603927395E-2</v>
      </c>
      <c r="BP47" s="14">
        <v>5029</v>
      </c>
      <c r="BQ47" s="10">
        <v>25679</v>
      </c>
      <c r="BR47" s="44">
        <v>15430</v>
      </c>
      <c r="BS47" s="10">
        <v>5161</v>
      </c>
      <c r="BT47" s="10">
        <v>37597</v>
      </c>
      <c r="BU47" s="10">
        <v>29761</v>
      </c>
      <c r="BV47" s="10">
        <v>16293</v>
      </c>
      <c r="BW47" s="10">
        <f t="shared" si="10"/>
        <v>42758</v>
      </c>
      <c r="BX47" s="10">
        <f t="shared" si="11"/>
        <v>46054</v>
      </c>
      <c r="BY47" s="14">
        <v>92452</v>
      </c>
      <c r="BZ47" s="14">
        <v>0</v>
      </c>
      <c r="CA47" s="14">
        <v>205</v>
      </c>
      <c r="CB47" s="14">
        <v>92247</v>
      </c>
      <c r="CC47" s="14">
        <v>22426</v>
      </c>
      <c r="CD47" s="14">
        <v>49313</v>
      </c>
      <c r="CE47" s="14">
        <v>20207</v>
      </c>
      <c r="CF47" s="14">
        <v>4</v>
      </c>
      <c r="CG47" s="14">
        <v>210</v>
      </c>
      <c r="CH47" s="14">
        <v>63</v>
      </c>
      <c r="CI47" s="14">
        <v>229</v>
      </c>
      <c r="CJ47" s="14">
        <f t="shared" si="12"/>
        <v>506</v>
      </c>
      <c r="CK47" s="14">
        <v>45339</v>
      </c>
      <c r="CL47" s="14">
        <v>47113</v>
      </c>
      <c r="CM47" s="14">
        <v>41751</v>
      </c>
      <c r="CN47" s="11">
        <f t="shared" si="13"/>
        <v>0.45159650413187385</v>
      </c>
      <c r="CO47" s="14">
        <v>50701</v>
      </c>
      <c r="CP47" s="11">
        <f t="shared" si="14"/>
        <v>0.5484034958681262</v>
      </c>
      <c r="CQ47" s="29">
        <v>4364</v>
      </c>
      <c r="CR47" s="29">
        <v>37801</v>
      </c>
      <c r="CS47" s="29">
        <v>30189</v>
      </c>
      <c r="CT47" s="29">
        <v>17085</v>
      </c>
      <c r="CU47" s="45">
        <v>5285</v>
      </c>
      <c r="CV47" s="45">
        <v>1916</v>
      </c>
      <c r="CW47" s="45">
        <v>2375</v>
      </c>
      <c r="CX47" s="45">
        <v>666</v>
      </c>
      <c r="CY47" s="45">
        <v>328</v>
      </c>
      <c r="CZ47" s="45">
        <v>36</v>
      </c>
      <c r="DA47" s="45">
        <v>36</v>
      </c>
      <c r="DB47" s="45">
        <v>35</v>
      </c>
      <c r="DC47" s="45">
        <v>29</v>
      </c>
    </row>
    <row r="48" spans="1:107" x14ac:dyDescent="0.35">
      <c r="A48" s="1" t="s">
        <v>299</v>
      </c>
      <c r="B48" s="5" t="s">
        <v>0</v>
      </c>
      <c r="C48" s="3" t="s">
        <v>342</v>
      </c>
      <c r="D48" s="4" t="s">
        <v>343</v>
      </c>
      <c r="E48" s="5">
        <v>3</v>
      </c>
      <c r="F48" s="5">
        <v>25</v>
      </c>
      <c r="G48" s="2">
        <v>0.80427135176190767</v>
      </c>
      <c r="H48" s="2" t="s">
        <v>1276</v>
      </c>
      <c r="I48" s="17" t="s">
        <v>121</v>
      </c>
      <c r="J4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FADHLINA BINTI SIDEK </v>
      </c>
      <c r="K48" s="8">
        <v>10660</v>
      </c>
      <c r="L48" s="8" t="s">
        <v>345</v>
      </c>
      <c r="M48" s="7" t="s">
        <v>346</v>
      </c>
      <c r="N48" s="8">
        <v>42188</v>
      </c>
      <c r="O48" s="8" t="s">
        <v>23</v>
      </c>
      <c r="P48" s="7" t="s">
        <v>344</v>
      </c>
      <c r="Q48" s="8">
        <v>25895</v>
      </c>
      <c r="R48" s="8" t="s">
        <v>25</v>
      </c>
      <c r="S48" s="7" t="s">
        <v>347</v>
      </c>
      <c r="T48" s="10">
        <v>16293</v>
      </c>
      <c r="U48" s="10">
        <v>0</v>
      </c>
      <c r="V48" s="10">
        <v>1</v>
      </c>
      <c r="W48" s="10">
        <v>0</v>
      </c>
      <c r="X48" s="10">
        <v>30910</v>
      </c>
      <c r="Y48" s="12" t="s">
        <v>26</v>
      </c>
      <c r="Z48" s="12" t="s">
        <v>1277</v>
      </c>
      <c r="AA48" s="13" t="s">
        <v>348</v>
      </c>
      <c r="AB48" s="14">
        <v>15817</v>
      </c>
      <c r="AC48" s="15" t="s">
        <v>349</v>
      </c>
      <c r="AD48" s="16">
        <v>33936</v>
      </c>
      <c r="AE48" s="14">
        <v>19578</v>
      </c>
      <c r="AF48" s="14">
        <v>6875</v>
      </c>
      <c r="AG48" s="14">
        <v>35395</v>
      </c>
      <c r="AH48" s="14" t="s">
        <v>17</v>
      </c>
      <c r="AI48" s="15" t="s">
        <v>29</v>
      </c>
      <c r="AJ48" s="14">
        <v>0</v>
      </c>
      <c r="AK48" s="14">
        <v>1</v>
      </c>
      <c r="AL48" s="14">
        <v>0</v>
      </c>
      <c r="AM48" s="14">
        <v>73383</v>
      </c>
      <c r="AN48" s="14">
        <v>35005</v>
      </c>
      <c r="AO48" s="14">
        <v>25709</v>
      </c>
      <c r="AP48" s="14">
        <v>12469</v>
      </c>
      <c r="AQ48" s="14">
        <v>114</v>
      </c>
      <c r="AR48" s="14">
        <v>57</v>
      </c>
      <c r="AS48" s="14">
        <v>23</v>
      </c>
      <c r="AT48" s="14">
        <v>6</v>
      </c>
      <c r="AU48" s="14">
        <v>34991</v>
      </c>
      <c r="AV48" s="14">
        <v>38392</v>
      </c>
      <c r="AW48" s="14">
        <v>29617</v>
      </c>
      <c r="AX48" s="14">
        <v>43766</v>
      </c>
      <c r="AY48" s="14">
        <v>19368.666666666668</v>
      </c>
      <c r="AZ48" s="14">
        <v>100062</v>
      </c>
      <c r="BA48" s="14">
        <v>8</v>
      </c>
      <c r="BB48" s="14">
        <v>543</v>
      </c>
      <c r="BC48" s="14">
        <v>99511</v>
      </c>
      <c r="BD48" s="14">
        <v>46863</v>
      </c>
      <c r="BE48" s="11">
        <f>Table14[[#This Row],[Melayu_Voters_GE15]]/Table14[[#This Row],[All_Voters_GE15]]</f>
        <v>0.46833962942975355</v>
      </c>
      <c r="BF48" s="14">
        <v>34780</v>
      </c>
      <c r="BG48" s="11">
        <f>Table14[[#This Row],[Chinese_Voters_GE15]]/Table14[[#This Row],[All_Voters_GE15]]</f>
        <v>0.34758449761148086</v>
      </c>
      <c r="BH48" s="14">
        <v>17939</v>
      </c>
      <c r="BI48" s="11">
        <f>Table14[[#This Row],[India_Voters_GE15]]/Table14[[#This Row],[All_Voters_GE15]]</f>
        <v>0.17927884711478884</v>
      </c>
      <c r="BJ48" s="14">
        <v>8</v>
      </c>
      <c r="BK48" s="14">
        <v>129</v>
      </c>
      <c r="BL48" s="14">
        <v>59</v>
      </c>
      <c r="BM48" s="14">
        <v>284</v>
      </c>
      <c r="BN48" s="14">
        <f>Table14[[#This Row],[Lain_Voters_GE15]]+Table14[[#This Row],[Swak_Voters_GE15]]+Table14[[#This Row],[Sabah_Voters_GE15]]+Table14[[#This Row],[OA_Voters_GE15]]</f>
        <v>480</v>
      </c>
      <c r="BO48" s="11">
        <f>Table14[[#This Row],[Base_Stock_GE15]]/Table14[[#This Row],[All_Voters_GE15]]</f>
        <v>0.30890847674441846</v>
      </c>
      <c r="BP48" s="14">
        <v>22787</v>
      </c>
      <c r="BQ48" s="10">
        <v>29457</v>
      </c>
      <c r="BR48" s="44">
        <v>19169</v>
      </c>
      <c r="BS48" s="10">
        <v>6336</v>
      </c>
      <c r="BT48" s="10">
        <v>45678</v>
      </c>
      <c r="BU48" s="10">
        <v>32533</v>
      </c>
      <c r="BV48" s="10">
        <v>15515</v>
      </c>
      <c r="BW48" s="10">
        <f t="shared" si="10"/>
        <v>52014</v>
      </c>
      <c r="BX48" s="10">
        <f t="shared" si="11"/>
        <v>48048</v>
      </c>
      <c r="BY48" s="14">
        <v>105816</v>
      </c>
      <c r="BZ48" s="14">
        <v>0</v>
      </c>
      <c r="CA48" s="14">
        <v>521</v>
      </c>
      <c r="CB48" s="14">
        <v>105295</v>
      </c>
      <c r="CC48" s="14">
        <v>50045</v>
      </c>
      <c r="CD48" s="14">
        <v>36378</v>
      </c>
      <c r="CE48" s="14">
        <v>18849</v>
      </c>
      <c r="CF48" s="14">
        <v>7</v>
      </c>
      <c r="CG48" s="14">
        <v>143</v>
      </c>
      <c r="CH48" s="14">
        <v>69</v>
      </c>
      <c r="CI48" s="14">
        <v>325</v>
      </c>
      <c r="CJ48" s="14">
        <f t="shared" si="12"/>
        <v>544</v>
      </c>
      <c r="CK48" s="14">
        <v>51529</v>
      </c>
      <c r="CL48" s="14">
        <v>54287</v>
      </c>
      <c r="CM48" s="14">
        <v>51904</v>
      </c>
      <c r="CN48" s="11">
        <f t="shared" si="13"/>
        <v>0.49051183185907615</v>
      </c>
      <c r="CO48" s="14">
        <v>53912</v>
      </c>
      <c r="CP48" s="11">
        <f t="shared" si="14"/>
        <v>0.5094881681409239</v>
      </c>
      <c r="CQ48" s="29">
        <v>5450</v>
      </c>
      <c r="CR48" s="29">
        <v>46483</v>
      </c>
      <c r="CS48" s="29">
        <v>33311</v>
      </c>
      <c r="CT48" s="29">
        <v>16569</v>
      </c>
      <c r="CU48" s="45">
        <v>9750</v>
      </c>
      <c r="CV48" s="45">
        <v>3137</v>
      </c>
      <c r="CW48" s="45">
        <v>4381</v>
      </c>
      <c r="CX48" s="45">
        <v>1401</v>
      </c>
      <c r="CY48" s="45">
        <v>831</v>
      </c>
      <c r="CZ48" s="45">
        <v>53</v>
      </c>
      <c r="DA48" s="45">
        <v>53</v>
      </c>
      <c r="DB48" s="45">
        <v>53</v>
      </c>
      <c r="DC48" s="45">
        <v>52</v>
      </c>
    </row>
    <row r="49" spans="1:107" x14ac:dyDescent="0.35">
      <c r="A49" s="1" t="s">
        <v>299</v>
      </c>
      <c r="B49" s="5" t="s">
        <v>0</v>
      </c>
      <c r="C49" s="3" t="s">
        <v>350</v>
      </c>
      <c r="D49" s="4" t="s">
        <v>351</v>
      </c>
      <c r="E49" s="5">
        <v>4</v>
      </c>
      <c r="F49" s="5">
        <v>30</v>
      </c>
      <c r="G49" s="2">
        <v>0.68529306860064199</v>
      </c>
      <c r="H49" s="2" t="s">
        <v>1276</v>
      </c>
      <c r="I49" s="17" t="s">
        <v>121</v>
      </c>
      <c r="J4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SYERLEENA ABDUL RASHID </v>
      </c>
      <c r="K49" s="8">
        <v>5417</v>
      </c>
      <c r="L49" s="8" t="s">
        <v>353</v>
      </c>
      <c r="M49" s="7" t="s">
        <v>354</v>
      </c>
      <c r="N49" s="8">
        <v>49353</v>
      </c>
      <c r="O49" s="8" t="s">
        <v>102</v>
      </c>
      <c r="P49" s="7" t="s">
        <v>352</v>
      </c>
      <c r="Q49" s="8">
        <v>6743</v>
      </c>
      <c r="R49" s="8" t="s">
        <v>339</v>
      </c>
      <c r="S49" s="7" t="s">
        <v>355</v>
      </c>
      <c r="T49" s="10">
        <v>42610</v>
      </c>
      <c r="U49" s="10">
        <v>0</v>
      </c>
      <c r="V49" s="10">
        <v>1</v>
      </c>
      <c r="W49" s="10">
        <v>0</v>
      </c>
      <c r="X49" s="10">
        <v>3147</v>
      </c>
      <c r="Y49" s="12" t="s">
        <v>319</v>
      </c>
      <c r="Z49" s="12" t="s">
        <v>1277</v>
      </c>
      <c r="AA49" s="13" t="s">
        <v>356</v>
      </c>
      <c r="AB49" s="14">
        <v>40731</v>
      </c>
      <c r="AC49" s="15" t="s">
        <v>357</v>
      </c>
      <c r="AD49" s="16">
        <v>11290</v>
      </c>
      <c r="AE49" s="14">
        <v>9318</v>
      </c>
      <c r="AF49" s="14"/>
      <c r="AG49" s="14">
        <v>50049</v>
      </c>
      <c r="AH49" s="14" t="s">
        <v>339</v>
      </c>
      <c r="AI49" s="15" t="s">
        <v>321</v>
      </c>
      <c r="AJ49" s="14">
        <v>0</v>
      </c>
      <c r="AK49" s="14">
        <v>1</v>
      </c>
      <c r="AL49" s="14">
        <v>0</v>
      </c>
      <c r="AM49" s="51">
        <v>75069</v>
      </c>
      <c r="AN49" s="51">
        <v>11001</v>
      </c>
      <c r="AO49" s="51">
        <v>54670</v>
      </c>
      <c r="AP49" s="51">
        <v>8561</v>
      </c>
      <c r="AQ49" s="51">
        <v>698</v>
      </c>
      <c r="AR49" s="51">
        <v>72</v>
      </c>
      <c r="AS49" s="51">
        <v>65</v>
      </c>
      <c r="AT49" s="51">
        <v>2</v>
      </c>
      <c r="AU49" s="51">
        <v>34999</v>
      </c>
      <c r="AV49" s="51">
        <v>40070</v>
      </c>
      <c r="AW49" s="51">
        <v>19222</v>
      </c>
      <c r="AX49" s="51">
        <v>55847</v>
      </c>
      <c r="AY49" s="14">
        <v>12420.666666666666</v>
      </c>
      <c r="AZ49" s="14">
        <v>92521</v>
      </c>
      <c r="BA49" s="14">
        <v>17</v>
      </c>
      <c r="BB49" s="14">
        <v>1055</v>
      </c>
      <c r="BC49" s="14">
        <v>91449</v>
      </c>
      <c r="BD49" s="14">
        <v>14165</v>
      </c>
      <c r="BE49" s="11">
        <f>Table14[[#This Row],[Melayu_Voters_GE15]]/Table14[[#This Row],[All_Voters_GE15]]</f>
        <v>0.15310037721166006</v>
      </c>
      <c r="BF49" s="14">
        <v>65729</v>
      </c>
      <c r="BG49" s="11">
        <f>Table14[[#This Row],[Chinese_Voters_GE15]]/Table14[[#This Row],[All_Voters_GE15]]</f>
        <v>0.71042249867597629</v>
      </c>
      <c r="BH49" s="14">
        <v>11303</v>
      </c>
      <c r="BI49" s="11">
        <f>Table14[[#This Row],[India_Voters_GE15]]/Table14[[#This Row],[All_Voters_GE15]]</f>
        <v>0.12216685941570021</v>
      </c>
      <c r="BJ49" s="14">
        <v>6</v>
      </c>
      <c r="BK49" s="14">
        <v>205</v>
      </c>
      <c r="BL49" s="14">
        <v>141</v>
      </c>
      <c r="BM49" s="14">
        <v>972</v>
      </c>
      <c r="BN49" s="14">
        <f>Table14[[#This Row],[Lain_Voters_GE15]]+Table14[[#This Row],[Swak_Voters_GE15]]+Table14[[#This Row],[Sabah_Voters_GE15]]+Table14[[#This Row],[OA_Voters_GE15]]</f>
        <v>1324</v>
      </c>
      <c r="BO49" s="11">
        <f>Table14[[#This Row],[Base_Stock_GE15]]/Table14[[#This Row],[All_Voters_GE15]]</f>
        <v>3.4013899547129842E-2</v>
      </c>
      <c r="BP49" s="14">
        <v>2020</v>
      </c>
      <c r="BQ49" s="10">
        <v>21969</v>
      </c>
      <c r="BR49" s="44">
        <v>9443</v>
      </c>
      <c r="BS49" s="10">
        <v>3008</v>
      </c>
      <c r="BT49" s="10">
        <v>28758</v>
      </c>
      <c r="BU49" s="10">
        <v>31964</v>
      </c>
      <c r="BV49" s="10">
        <v>28791</v>
      </c>
      <c r="BW49" s="10">
        <f t="shared" ref="BW49:BW65" si="15">BS49+BT49</f>
        <v>31766</v>
      </c>
      <c r="BX49" s="10">
        <f t="shared" ref="BX49:BX65" si="16">BU49+BV49</f>
        <v>60755</v>
      </c>
      <c r="BY49" s="14">
        <v>92046</v>
      </c>
      <c r="BZ49" s="14">
        <v>0</v>
      </c>
      <c r="CA49" s="14">
        <v>1031</v>
      </c>
      <c r="CB49" s="14">
        <v>91015</v>
      </c>
      <c r="CC49" s="14">
        <v>14499</v>
      </c>
      <c r="CD49" s="14">
        <v>65020</v>
      </c>
      <c r="CE49" s="14">
        <v>11167</v>
      </c>
      <c r="CF49" s="14">
        <v>7</v>
      </c>
      <c r="CG49" s="14">
        <v>209</v>
      </c>
      <c r="CH49" s="14">
        <v>160</v>
      </c>
      <c r="CI49" s="14">
        <v>984</v>
      </c>
      <c r="CJ49" s="14">
        <f t="shared" ref="CJ49:CJ65" si="17">SUM(CF49:CI49)</f>
        <v>1360</v>
      </c>
      <c r="CK49" s="14">
        <v>43401</v>
      </c>
      <c r="CL49" s="14">
        <v>48645</v>
      </c>
      <c r="CM49" s="14">
        <v>29363</v>
      </c>
      <c r="CN49" s="11">
        <f t="shared" ref="CN49:CN65" si="18">CM49/$BY49</f>
        <v>0.31900354170740719</v>
      </c>
      <c r="CO49" s="14">
        <v>62683</v>
      </c>
      <c r="CP49" s="11">
        <f t="shared" ref="CP49:CP65" si="19">CO49/$BY49</f>
        <v>0.68099645829259281</v>
      </c>
      <c r="CQ49" s="29">
        <v>2600</v>
      </c>
      <c r="CR49" s="29">
        <v>28443</v>
      </c>
      <c r="CS49" s="29">
        <v>31675</v>
      </c>
      <c r="CT49" s="29">
        <v>29766</v>
      </c>
      <c r="CU49" s="45">
        <v>5672</v>
      </c>
      <c r="CV49" s="45">
        <v>2076</v>
      </c>
      <c r="CW49" s="45">
        <v>2933</v>
      </c>
      <c r="CX49" s="45">
        <v>515</v>
      </c>
      <c r="CY49" s="45">
        <v>148</v>
      </c>
      <c r="CZ49" s="45">
        <v>30</v>
      </c>
      <c r="DA49" s="45">
        <v>30</v>
      </c>
      <c r="DB49" s="45">
        <v>21</v>
      </c>
      <c r="DC49" s="45">
        <v>14</v>
      </c>
    </row>
    <row r="50" spans="1:107" x14ac:dyDescent="0.35">
      <c r="A50" s="1" t="s">
        <v>299</v>
      </c>
      <c r="B50" s="5" t="s">
        <v>0</v>
      </c>
      <c r="C50" s="3" t="s">
        <v>358</v>
      </c>
      <c r="D50" s="4" t="s">
        <v>359</v>
      </c>
      <c r="E50" s="5">
        <v>3</v>
      </c>
      <c r="F50" s="5">
        <v>37</v>
      </c>
      <c r="G50" s="2">
        <v>0.72232638297066454</v>
      </c>
      <c r="H50" s="2" t="s">
        <v>1276</v>
      </c>
      <c r="I50" s="17" t="s">
        <v>121</v>
      </c>
      <c r="J5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LIM HUI YING </v>
      </c>
      <c r="K50" s="8">
        <v>3214</v>
      </c>
      <c r="L50" s="8" t="s">
        <v>77</v>
      </c>
      <c r="M50" s="7" t="s">
        <v>361</v>
      </c>
      <c r="N50" s="8">
        <v>31968</v>
      </c>
      <c r="O50" s="8" t="s">
        <v>102</v>
      </c>
      <c r="P50" s="7" t="s">
        <v>360</v>
      </c>
      <c r="Q50" s="8">
        <v>2501</v>
      </c>
      <c r="R50" s="8" t="s">
        <v>339</v>
      </c>
      <c r="S50" s="7" t="s">
        <v>362</v>
      </c>
      <c r="T50" s="10">
        <v>28754</v>
      </c>
      <c r="U50" s="10">
        <v>0</v>
      </c>
      <c r="V50" s="10">
        <v>1</v>
      </c>
      <c r="W50" s="10">
        <v>0</v>
      </c>
      <c r="X50" s="10">
        <v>2867</v>
      </c>
      <c r="Y50" s="12" t="s">
        <v>319</v>
      </c>
      <c r="Z50" s="12" t="s">
        <v>1277</v>
      </c>
      <c r="AA50" s="13" t="s">
        <v>363</v>
      </c>
      <c r="AB50" s="14">
        <v>29599</v>
      </c>
      <c r="AC50" s="15" t="s">
        <v>364</v>
      </c>
      <c r="AD50" s="16">
        <v>6310</v>
      </c>
      <c r="AE50" s="14">
        <v>5064</v>
      </c>
      <c r="AF50" s="14"/>
      <c r="AG50" s="14">
        <v>34663</v>
      </c>
      <c r="AH50" s="14" t="s">
        <v>339</v>
      </c>
      <c r="AI50" s="15" t="s">
        <v>321</v>
      </c>
      <c r="AJ50" s="14">
        <v>0</v>
      </c>
      <c r="AK50" s="14">
        <v>1</v>
      </c>
      <c r="AL50" s="14">
        <v>0</v>
      </c>
      <c r="AM50" s="51">
        <v>49586</v>
      </c>
      <c r="AN50" s="51">
        <v>2919</v>
      </c>
      <c r="AO50" s="51">
        <v>41736</v>
      </c>
      <c r="AP50" s="51">
        <v>4772</v>
      </c>
      <c r="AQ50" s="51">
        <v>119</v>
      </c>
      <c r="AR50" s="51">
        <v>24</v>
      </c>
      <c r="AS50" s="51">
        <v>16</v>
      </c>
      <c r="AT50" s="51">
        <v>0</v>
      </c>
      <c r="AU50" s="51">
        <v>24916</v>
      </c>
      <c r="AV50" s="51">
        <v>24670</v>
      </c>
      <c r="AW50" s="51">
        <v>8785</v>
      </c>
      <c r="AX50" s="51">
        <v>40801</v>
      </c>
      <c r="AY50" s="14">
        <v>7229.333333333333</v>
      </c>
      <c r="AZ50" s="14">
        <v>52803</v>
      </c>
      <c r="BA50" s="14">
        <v>2</v>
      </c>
      <c r="BB50" s="14">
        <v>903</v>
      </c>
      <c r="BC50" s="14">
        <v>51898</v>
      </c>
      <c r="BD50" s="14">
        <v>3493</v>
      </c>
      <c r="BE50" s="11">
        <f>Table14[[#This Row],[Melayu_Voters_GE15]]/Table14[[#This Row],[All_Voters_GE15]]</f>
        <v>6.6151544419824626E-2</v>
      </c>
      <c r="BF50" s="14">
        <v>43010</v>
      </c>
      <c r="BG50" s="11">
        <f>Table14[[#This Row],[Chinese_Voters_GE15]]/Table14[[#This Row],[All_Voters_GE15]]</f>
        <v>0.8145370528189686</v>
      </c>
      <c r="BH50" s="14">
        <v>6052</v>
      </c>
      <c r="BI50" s="11">
        <f>Table14[[#This Row],[India_Voters_GE15]]/Table14[[#This Row],[All_Voters_GE15]]</f>
        <v>0.1146146999223529</v>
      </c>
      <c r="BJ50" s="14">
        <v>0</v>
      </c>
      <c r="BK50" s="14">
        <v>66</v>
      </c>
      <c r="BL50" s="14">
        <v>53</v>
      </c>
      <c r="BM50" s="14">
        <v>129</v>
      </c>
      <c r="BN50" s="14">
        <f>Table14[[#This Row],[Lain_Voters_GE15]]+Table14[[#This Row],[Swak_Voters_GE15]]+Table14[[#This Row],[Sabah_Voters_GE15]]+Table14[[#This Row],[OA_Voters_GE15]]</f>
        <v>248</v>
      </c>
      <c r="BO50" s="11">
        <f>Table14[[#This Row],[Base_Stock_GE15]]/Table14[[#This Row],[All_Voters_GE15]]</f>
        <v>5.429615741529837E-2</v>
      </c>
      <c r="BP50" s="14">
        <v>530</v>
      </c>
      <c r="BQ50" s="10">
        <v>7735</v>
      </c>
      <c r="BR50" s="44">
        <v>3160</v>
      </c>
      <c r="BS50" s="10">
        <v>916</v>
      </c>
      <c r="BT50" s="10">
        <v>11683</v>
      </c>
      <c r="BU50" s="10">
        <v>18342</v>
      </c>
      <c r="BV50" s="10">
        <v>21862</v>
      </c>
      <c r="BW50" s="10">
        <f t="shared" si="15"/>
        <v>12599</v>
      </c>
      <c r="BX50" s="10">
        <f t="shared" si="16"/>
        <v>40204</v>
      </c>
      <c r="BY50" s="14">
        <v>50244</v>
      </c>
      <c r="BZ50" s="14">
        <v>0</v>
      </c>
      <c r="CA50" s="14">
        <v>974</v>
      </c>
      <c r="CB50" s="14">
        <v>49270</v>
      </c>
      <c r="CC50" s="14">
        <v>3700</v>
      </c>
      <c r="CD50" s="14">
        <v>40439</v>
      </c>
      <c r="CE50" s="14">
        <v>5841</v>
      </c>
      <c r="CF50" s="14">
        <v>0</v>
      </c>
      <c r="CG50" s="14">
        <v>69</v>
      </c>
      <c r="CH50" s="14">
        <v>53</v>
      </c>
      <c r="CI50" s="14">
        <v>142</v>
      </c>
      <c r="CJ50" s="14">
        <f t="shared" si="17"/>
        <v>264</v>
      </c>
      <c r="CK50" s="14">
        <v>25390</v>
      </c>
      <c r="CL50" s="14">
        <v>24854</v>
      </c>
      <c r="CM50" s="14">
        <v>10876</v>
      </c>
      <c r="CN50" s="11">
        <f t="shared" si="18"/>
        <v>0.21646365735212164</v>
      </c>
      <c r="CO50" s="14">
        <v>39368</v>
      </c>
      <c r="CP50" s="11">
        <f t="shared" si="19"/>
        <v>0.7835363426478783</v>
      </c>
      <c r="CQ50" s="29">
        <v>777</v>
      </c>
      <c r="CR50" s="29">
        <v>11415</v>
      </c>
      <c r="CS50" s="29">
        <v>17699</v>
      </c>
      <c r="CT50" s="29">
        <v>22312</v>
      </c>
      <c r="CU50" s="45">
        <v>6893</v>
      </c>
      <c r="CV50" s="45">
        <v>2845</v>
      </c>
      <c r="CW50" s="45">
        <v>2592</v>
      </c>
      <c r="CX50" s="45">
        <v>1037</v>
      </c>
      <c r="CY50" s="45">
        <v>419</v>
      </c>
      <c r="CZ50" s="45">
        <v>31</v>
      </c>
      <c r="DA50" s="45">
        <v>31</v>
      </c>
      <c r="DB50" s="45">
        <v>31</v>
      </c>
      <c r="DC50" s="45">
        <v>29</v>
      </c>
    </row>
    <row r="51" spans="1:107" x14ac:dyDescent="0.35">
      <c r="A51" s="1" t="s">
        <v>299</v>
      </c>
      <c r="B51" s="5" t="s">
        <v>0</v>
      </c>
      <c r="C51" s="3" t="s">
        <v>365</v>
      </c>
      <c r="D51" s="4" t="s">
        <v>366</v>
      </c>
      <c r="E51" s="5">
        <v>3</v>
      </c>
      <c r="F51" s="5">
        <v>27</v>
      </c>
      <c r="G51" s="2">
        <v>0.76341912351445385</v>
      </c>
      <c r="H51" s="2" t="s">
        <v>1276</v>
      </c>
      <c r="I51" s="17" t="s">
        <v>121</v>
      </c>
      <c r="J5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SANISVARA NETHAJI RAYER (RSN RAYER) </v>
      </c>
      <c r="K51" s="8">
        <v>7387</v>
      </c>
      <c r="L51" s="8" t="s">
        <v>368</v>
      </c>
      <c r="M51" s="7" t="s">
        <v>369</v>
      </c>
      <c r="N51" s="8">
        <v>50369</v>
      </c>
      <c r="O51" s="8" t="s">
        <v>102</v>
      </c>
      <c r="P51" s="7" t="s">
        <v>367</v>
      </c>
      <c r="Q51" s="8">
        <v>11765</v>
      </c>
      <c r="R51" s="8" t="s">
        <v>370</v>
      </c>
      <c r="S51" s="7" t="s">
        <v>371</v>
      </c>
      <c r="T51" s="10">
        <v>38604</v>
      </c>
      <c r="U51" s="10">
        <v>0</v>
      </c>
      <c r="V51" s="10">
        <v>1</v>
      </c>
      <c r="W51" s="10">
        <v>0</v>
      </c>
      <c r="X51" s="10">
        <v>2709</v>
      </c>
      <c r="Y51" s="12" t="s">
        <v>319</v>
      </c>
      <c r="Z51" s="12" t="s">
        <v>1277</v>
      </c>
      <c r="AA51" s="13" t="s">
        <v>372</v>
      </c>
      <c r="AB51" s="14">
        <v>38171</v>
      </c>
      <c r="AC51" s="15" t="s">
        <v>36</v>
      </c>
      <c r="AD51" s="16">
        <v>14817</v>
      </c>
      <c r="AE51" s="14">
        <v>12529</v>
      </c>
      <c r="AF51" s="14"/>
      <c r="AG51" s="14">
        <v>50700</v>
      </c>
      <c r="AH51" s="14" t="s">
        <v>339</v>
      </c>
      <c r="AI51" s="15" t="s">
        <v>321</v>
      </c>
      <c r="AJ51" s="14">
        <v>0</v>
      </c>
      <c r="AK51" s="14">
        <v>1</v>
      </c>
      <c r="AL51" s="14">
        <v>0</v>
      </c>
      <c r="AM51" s="51">
        <v>76991</v>
      </c>
      <c r="AN51" s="51">
        <v>17409</v>
      </c>
      <c r="AO51" s="51">
        <v>50209</v>
      </c>
      <c r="AP51" s="51">
        <v>9044</v>
      </c>
      <c r="AQ51" s="51">
        <v>245</v>
      </c>
      <c r="AR51" s="51">
        <v>50</v>
      </c>
      <c r="AS51" s="51">
        <v>31</v>
      </c>
      <c r="AT51" s="51">
        <v>3</v>
      </c>
      <c r="AU51" s="51">
        <v>36505</v>
      </c>
      <c r="AV51" s="51">
        <v>40486</v>
      </c>
      <c r="AW51" s="51">
        <v>23849</v>
      </c>
      <c r="AX51" s="51">
        <v>53142</v>
      </c>
      <c r="AY51" s="14">
        <v>14745.666666666666</v>
      </c>
      <c r="AZ51" s="14">
        <v>93989</v>
      </c>
      <c r="BA51" s="14">
        <v>9</v>
      </c>
      <c r="BB51" s="14">
        <v>926</v>
      </c>
      <c r="BC51" s="14">
        <v>93054</v>
      </c>
      <c r="BD51" s="14">
        <v>19982</v>
      </c>
      <c r="BE51" s="11">
        <f>Table14[[#This Row],[Melayu_Voters_GE15]]/Table14[[#This Row],[All_Voters_GE15]]</f>
        <v>0.2125993467320644</v>
      </c>
      <c r="BF51" s="14">
        <v>59384</v>
      </c>
      <c r="BG51" s="11">
        <f>Table14[[#This Row],[Chinese_Voters_GE15]]/Table14[[#This Row],[All_Voters_GE15]]</f>
        <v>0.63181861707221054</v>
      </c>
      <c r="BH51" s="14">
        <v>14130</v>
      </c>
      <c r="BI51" s="11">
        <f>Table14[[#This Row],[India_Voters_GE15]]/Table14[[#This Row],[All_Voters_GE15]]</f>
        <v>0.15033674153358373</v>
      </c>
      <c r="BJ51" s="14">
        <v>2</v>
      </c>
      <c r="BK51" s="14">
        <v>151</v>
      </c>
      <c r="BL51" s="14">
        <v>80</v>
      </c>
      <c r="BM51" s="14">
        <v>260</v>
      </c>
      <c r="BN51" s="14">
        <f>Table14[[#This Row],[Lain_Voters_GE15]]+Table14[[#This Row],[Swak_Voters_GE15]]+Table14[[#This Row],[Sabah_Voters_GE15]]+Table14[[#This Row],[OA_Voters_GE15]]</f>
        <v>493</v>
      </c>
      <c r="BO51" s="11">
        <f>Table14[[#This Row],[Base_Stock_GE15]]/Table14[[#This Row],[All_Voters_GE15]]</f>
        <v>2.882252178446414E-2</v>
      </c>
      <c r="BP51" s="14">
        <v>1436</v>
      </c>
      <c r="BQ51" s="10">
        <v>21451</v>
      </c>
      <c r="BR51" s="44">
        <v>11102</v>
      </c>
      <c r="BS51" s="10">
        <v>3525</v>
      </c>
      <c r="BT51" s="10">
        <v>33400</v>
      </c>
      <c r="BU51" s="10">
        <v>32442</v>
      </c>
      <c r="BV51" s="10">
        <v>24622</v>
      </c>
      <c r="BW51" s="10">
        <f t="shared" si="15"/>
        <v>36925</v>
      </c>
      <c r="BX51" s="10">
        <f t="shared" si="16"/>
        <v>57064</v>
      </c>
      <c r="BY51" s="14">
        <v>94804</v>
      </c>
      <c r="BZ51" s="14">
        <v>0</v>
      </c>
      <c r="CA51" s="14">
        <v>1098</v>
      </c>
      <c r="CB51" s="14">
        <v>93706</v>
      </c>
      <c r="CC51" s="14">
        <v>21069</v>
      </c>
      <c r="CD51" s="14">
        <v>59134</v>
      </c>
      <c r="CE51" s="14">
        <v>14067</v>
      </c>
      <c r="CF51" s="14">
        <v>4</v>
      </c>
      <c r="CG51" s="14">
        <v>169</v>
      </c>
      <c r="CH51" s="14">
        <v>81</v>
      </c>
      <c r="CI51" s="14">
        <v>280</v>
      </c>
      <c r="CJ51" s="14">
        <f t="shared" si="17"/>
        <v>534</v>
      </c>
      <c r="CK51" s="14">
        <v>45581</v>
      </c>
      <c r="CL51" s="14">
        <v>49223</v>
      </c>
      <c r="CM51" s="14">
        <v>34586</v>
      </c>
      <c r="CN51" s="11">
        <f t="shared" si="18"/>
        <v>0.36481583055567274</v>
      </c>
      <c r="CO51" s="14">
        <v>60218</v>
      </c>
      <c r="CP51" s="11">
        <f t="shared" si="19"/>
        <v>0.63518416944432721</v>
      </c>
      <c r="CQ51" s="29">
        <v>3000</v>
      </c>
      <c r="CR51" s="29">
        <v>33231</v>
      </c>
      <c r="CS51" s="29">
        <v>32327</v>
      </c>
      <c r="CT51" s="29">
        <v>25644</v>
      </c>
      <c r="CU51" s="45">
        <v>6200</v>
      </c>
      <c r="CV51" s="45">
        <v>2106</v>
      </c>
      <c r="CW51" s="45">
        <v>2787</v>
      </c>
      <c r="CX51" s="45">
        <v>936</v>
      </c>
      <c r="CY51" s="45">
        <v>371</v>
      </c>
      <c r="CZ51" s="45">
        <v>31</v>
      </c>
      <c r="DA51" s="45">
        <v>31</v>
      </c>
      <c r="DB51" s="45">
        <v>31</v>
      </c>
      <c r="DC51" s="45">
        <v>26</v>
      </c>
    </row>
    <row r="52" spans="1:107" x14ac:dyDescent="0.35">
      <c r="A52" s="1" t="s">
        <v>299</v>
      </c>
      <c r="B52" s="5" t="s">
        <v>0</v>
      </c>
      <c r="C52" s="3" t="s">
        <v>373</v>
      </c>
      <c r="D52" s="4" t="s">
        <v>374</v>
      </c>
      <c r="E52" s="5">
        <v>3</v>
      </c>
      <c r="F52" s="5">
        <v>27</v>
      </c>
      <c r="G52" s="2">
        <v>0.74270493622688549</v>
      </c>
      <c r="H52" s="2" t="s">
        <v>1276</v>
      </c>
      <c r="I52" s="17" t="s">
        <v>121</v>
      </c>
      <c r="J5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RAMKARPAL SINGH </v>
      </c>
      <c r="K52" s="8">
        <v>6777</v>
      </c>
      <c r="L52" s="8" t="s">
        <v>77</v>
      </c>
      <c r="M52" s="7" t="s">
        <v>376</v>
      </c>
      <c r="N52" s="8">
        <v>71204</v>
      </c>
      <c r="O52" s="8" t="s">
        <v>102</v>
      </c>
      <c r="P52" s="7" t="s">
        <v>375</v>
      </c>
      <c r="Q52" s="8">
        <v>8092</v>
      </c>
      <c r="R52" s="8" t="s">
        <v>317</v>
      </c>
      <c r="S52" s="7" t="s">
        <v>377</v>
      </c>
      <c r="T52" s="10">
        <v>63112</v>
      </c>
      <c r="U52" s="10">
        <v>0</v>
      </c>
      <c r="V52" s="10">
        <v>1</v>
      </c>
      <c r="W52" s="10">
        <v>0</v>
      </c>
      <c r="X52" s="10">
        <v>5383</v>
      </c>
      <c r="Y52" s="12" t="s">
        <v>319</v>
      </c>
      <c r="Z52" s="12" t="s">
        <v>1277</v>
      </c>
      <c r="AA52" s="13" t="s">
        <v>378</v>
      </c>
      <c r="AB52" s="14">
        <v>55951</v>
      </c>
      <c r="AC52" s="15" t="s">
        <v>229</v>
      </c>
      <c r="AD52" s="16">
        <v>15727</v>
      </c>
      <c r="AE52" s="14">
        <v>9671</v>
      </c>
      <c r="AF52" s="14"/>
      <c r="AG52" s="14">
        <v>65622</v>
      </c>
      <c r="AH52" s="14" t="s">
        <v>82</v>
      </c>
      <c r="AI52" s="15" t="s">
        <v>321</v>
      </c>
      <c r="AJ52" s="14">
        <v>0</v>
      </c>
      <c r="AK52" s="14">
        <v>1</v>
      </c>
      <c r="AL52" s="14">
        <v>0</v>
      </c>
      <c r="AM52" s="51">
        <v>91595</v>
      </c>
      <c r="AN52" s="51">
        <v>13121</v>
      </c>
      <c r="AO52" s="51">
        <v>67653</v>
      </c>
      <c r="AP52" s="51">
        <v>10364</v>
      </c>
      <c r="AQ52" s="51">
        <v>369</v>
      </c>
      <c r="AR52" s="51">
        <v>59</v>
      </c>
      <c r="AS52" s="51">
        <v>29</v>
      </c>
      <c r="AT52" s="51">
        <v>0</v>
      </c>
      <c r="AU52" s="51">
        <v>42866</v>
      </c>
      <c r="AV52" s="51">
        <v>48729</v>
      </c>
      <c r="AW52" s="51">
        <v>31090</v>
      </c>
      <c r="AX52" s="51">
        <v>60505</v>
      </c>
      <c r="AY52" s="14">
        <v>12619</v>
      </c>
      <c r="AZ52" s="14">
        <v>117134</v>
      </c>
      <c r="BA52" s="14">
        <v>27</v>
      </c>
      <c r="BB52" s="14">
        <v>145</v>
      </c>
      <c r="BC52" s="14">
        <v>116962</v>
      </c>
      <c r="BD52" s="14">
        <v>17291</v>
      </c>
      <c r="BE52" s="11">
        <f>Table14[[#This Row],[Melayu_Voters_GE15]]/Table14[[#This Row],[All_Voters_GE15]]</f>
        <v>0.14761725886591426</v>
      </c>
      <c r="BF52" s="14">
        <v>83967</v>
      </c>
      <c r="BG52" s="11">
        <f>Table14[[#This Row],[Chinese_Voters_GE15]]/Table14[[#This Row],[All_Voters_GE15]]</f>
        <v>0.71684566394044424</v>
      </c>
      <c r="BH52" s="14">
        <v>15153</v>
      </c>
      <c r="BI52" s="11">
        <f>Table14[[#This Row],[India_Voters_GE15]]/Table14[[#This Row],[All_Voters_GE15]]</f>
        <v>0.12936465927911622</v>
      </c>
      <c r="BJ52" s="14">
        <v>1</v>
      </c>
      <c r="BK52" s="14">
        <v>147</v>
      </c>
      <c r="BL52" s="14">
        <v>101</v>
      </c>
      <c r="BM52" s="14">
        <v>474</v>
      </c>
      <c r="BN52" s="14">
        <f>Table14[[#This Row],[Lain_Voters_GE15]]+Table14[[#This Row],[Swak_Voters_GE15]]+Table14[[#This Row],[Sabah_Voters_GE15]]+Table14[[#This Row],[OA_Voters_GE15]]</f>
        <v>723</v>
      </c>
      <c r="BO52" s="11">
        <f>Table14[[#This Row],[Base_Stock_GE15]]/Table14[[#This Row],[All_Voters_GE15]]</f>
        <v>4.5955913739819353E-2</v>
      </c>
      <c r="BP52" s="14">
        <v>1708</v>
      </c>
      <c r="BQ52" s="10">
        <v>29563</v>
      </c>
      <c r="BR52" s="44">
        <v>15501</v>
      </c>
      <c r="BS52" s="10">
        <v>5059</v>
      </c>
      <c r="BT52" s="10">
        <v>44531</v>
      </c>
      <c r="BU52" s="10">
        <v>40638</v>
      </c>
      <c r="BV52" s="10">
        <v>26906</v>
      </c>
      <c r="BW52" s="10">
        <f t="shared" si="15"/>
        <v>49590</v>
      </c>
      <c r="BX52" s="10">
        <f t="shared" si="16"/>
        <v>67544</v>
      </c>
      <c r="BY52" s="14">
        <v>118661</v>
      </c>
      <c r="BZ52" s="14">
        <v>0</v>
      </c>
      <c r="CA52" s="14">
        <v>121</v>
      </c>
      <c r="CB52" s="14">
        <v>118540</v>
      </c>
      <c r="CC52" s="14">
        <v>18025</v>
      </c>
      <c r="CD52" s="14">
        <v>84291</v>
      </c>
      <c r="CE52" s="14">
        <v>15553</v>
      </c>
      <c r="CF52" s="14">
        <v>3</v>
      </c>
      <c r="CG52" s="14">
        <v>171</v>
      </c>
      <c r="CH52" s="14">
        <v>116</v>
      </c>
      <c r="CI52" s="14">
        <v>502</v>
      </c>
      <c r="CJ52" s="14">
        <f t="shared" si="17"/>
        <v>792</v>
      </c>
      <c r="CK52" s="14">
        <v>56587</v>
      </c>
      <c r="CL52" s="14">
        <v>62074</v>
      </c>
      <c r="CM52" s="14">
        <v>46117</v>
      </c>
      <c r="CN52" s="11">
        <f t="shared" si="18"/>
        <v>0.38864496338308291</v>
      </c>
      <c r="CO52" s="14">
        <v>72544</v>
      </c>
      <c r="CP52" s="11">
        <f t="shared" si="19"/>
        <v>0.61135503661691715</v>
      </c>
      <c r="CQ52" s="29">
        <v>4247</v>
      </c>
      <c r="CR52" s="29">
        <v>44147</v>
      </c>
      <c r="CS52" s="29">
        <v>40730</v>
      </c>
      <c r="CT52" s="29">
        <v>28092</v>
      </c>
      <c r="CU52" s="45">
        <v>4458</v>
      </c>
      <c r="CV52" s="45">
        <v>1460</v>
      </c>
      <c r="CW52" s="45">
        <v>1812</v>
      </c>
      <c r="CX52" s="45">
        <v>903</v>
      </c>
      <c r="CY52" s="45">
        <v>283</v>
      </c>
      <c r="CZ52" s="45">
        <v>25</v>
      </c>
      <c r="DA52" s="45">
        <v>25</v>
      </c>
      <c r="DB52" s="45">
        <v>24</v>
      </c>
      <c r="DC52" s="45">
        <v>24</v>
      </c>
    </row>
    <row r="53" spans="1:107" x14ac:dyDescent="0.35">
      <c r="A53" s="1" t="s">
        <v>299</v>
      </c>
      <c r="B53" s="5" t="s">
        <v>0</v>
      </c>
      <c r="C53" s="3" t="s">
        <v>379</v>
      </c>
      <c r="D53" s="4" t="s">
        <v>380</v>
      </c>
      <c r="E53" s="5">
        <v>3</v>
      </c>
      <c r="F53" s="5">
        <v>25</v>
      </c>
      <c r="G53" s="2">
        <v>0.76242895352724838</v>
      </c>
      <c r="H53" s="2" t="s">
        <v>1276</v>
      </c>
      <c r="I53" s="17" t="s">
        <v>121</v>
      </c>
      <c r="J5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SIM TZE TZIN </v>
      </c>
      <c r="K53" s="8">
        <v>13377</v>
      </c>
      <c r="L53" s="8" t="s">
        <v>77</v>
      </c>
      <c r="M53" s="7" t="s">
        <v>382</v>
      </c>
      <c r="N53" s="8">
        <v>55209</v>
      </c>
      <c r="O53" s="8" t="s">
        <v>23</v>
      </c>
      <c r="P53" s="7" t="s">
        <v>381</v>
      </c>
      <c r="Q53" s="8">
        <v>20307</v>
      </c>
      <c r="R53" s="8" t="s">
        <v>370</v>
      </c>
      <c r="S53" s="7" t="s">
        <v>383</v>
      </c>
      <c r="T53" s="10">
        <v>34902</v>
      </c>
      <c r="U53" s="10">
        <v>0</v>
      </c>
      <c r="V53" s="10">
        <v>1</v>
      </c>
      <c r="W53" s="10">
        <v>0</v>
      </c>
      <c r="X53" s="10">
        <v>12441</v>
      </c>
      <c r="Y53" s="12" t="s">
        <v>26</v>
      </c>
      <c r="Z53" s="12" t="s">
        <v>1277</v>
      </c>
      <c r="AA53" s="13" t="s">
        <v>384</v>
      </c>
      <c r="AB53" s="14">
        <v>37751</v>
      </c>
      <c r="AC53" s="15" t="s">
        <v>385</v>
      </c>
      <c r="AD53" s="16">
        <v>21510</v>
      </c>
      <c r="AE53" s="14">
        <v>13804</v>
      </c>
      <c r="AF53" s="14">
        <v>8757</v>
      </c>
      <c r="AG53" s="14">
        <v>51555</v>
      </c>
      <c r="AH53" s="14" t="s">
        <v>82</v>
      </c>
      <c r="AI53" s="15" t="s">
        <v>29</v>
      </c>
      <c r="AJ53" s="14">
        <v>0</v>
      </c>
      <c r="AK53" s="14">
        <v>1</v>
      </c>
      <c r="AL53" s="14">
        <v>0</v>
      </c>
      <c r="AM53" s="51">
        <v>90780</v>
      </c>
      <c r="AN53" s="51">
        <v>35949</v>
      </c>
      <c r="AO53" s="51">
        <v>44039</v>
      </c>
      <c r="AP53" s="51">
        <v>10078</v>
      </c>
      <c r="AQ53" s="51">
        <v>362</v>
      </c>
      <c r="AR53" s="51">
        <v>195</v>
      </c>
      <c r="AS53" s="51">
        <v>155</v>
      </c>
      <c r="AT53" s="51">
        <v>2</v>
      </c>
      <c r="AU53" s="51">
        <v>43497</v>
      </c>
      <c r="AV53" s="51">
        <v>47283</v>
      </c>
      <c r="AW53" s="51">
        <v>34803</v>
      </c>
      <c r="AX53" s="51">
        <v>55977</v>
      </c>
      <c r="AY53" s="14">
        <v>18214.666666666668</v>
      </c>
      <c r="AZ53" s="14">
        <v>119640</v>
      </c>
      <c r="BA53" s="14">
        <v>31</v>
      </c>
      <c r="BB53" s="14">
        <v>2234</v>
      </c>
      <c r="BC53" s="14">
        <v>117375</v>
      </c>
      <c r="BD53" s="14">
        <v>46756</v>
      </c>
      <c r="BE53" s="11">
        <f>Table14[[#This Row],[Melayu_Voters_GE15]]/Table14[[#This Row],[All_Voters_GE15]]</f>
        <v>0.3908057505850886</v>
      </c>
      <c r="BF53" s="14">
        <v>57179</v>
      </c>
      <c r="BG53" s="11">
        <f>Table14[[#This Row],[Chinese_Voters_GE15]]/Table14[[#This Row],[All_Voters_GE15]]</f>
        <v>0.47792544299565365</v>
      </c>
      <c r="BH53" s="14">
        <v>14725</v>
      </c>
      <c r="BI53" s="11">
        <f>Table14[[#This Row],[India_Voters_GE15]]/Table14[[#This Row],[All_Voters_GE15]]</f>
        <v>0.12307756603142761</v>
      </c>
      <c r="BJ53" s="14">
        <v>3</v>
      </c>
      <c r="BK53" s="14">
        <v>353</v>
      </c>
      <c r="BL53" s="14">
        <v>214</v>
      </c>
      <c r="BM53" s="14">
        <v>410</v>
      </c>
      <c r="BN53" s="14">
        <f>Table14[[#This Row],[Lain_Voters_GE15]]+Table14[[#This Row],[Swak_Voters_GE15]]+Table14[[#This Row],[Sabah_Voters_GE15]]+Table14[[#This Row],[OA_Voters_GE15]]</f>
        <v>980</v>
      </c>
      <c r="BO53" s="11">
        <f>Table14[[#This Row],[Base_Stock_GE15]]/Table14[[#This Row],[All_Voters_GE15]]</f>
        <v>0.10398696088264794</v>
      </c>
      <c r="BP53" s="14">
        <v>8215</v>
      </c>
      <c r="BQ53" s="10">
        <v>31712</v>
      </c>
      <c r="BR53" s="44">
        <v>18022</v>
      </c>
      <c r="BS53" s="10">
        <v>5956</v>
      </c>
      <c r="BT53" s="10">
        <v>50817</v>
      </c>
      <c r="BU53" s="10">
        <v>39918</v>
      </c>
      <c r="BV53" s="10">
        <v>22949</v>
      </c>
      <c r="BW53" s="10">
        <f t="shared" si="15"/>
        <v>56773</v>
      </c>
      <c r="BX53" s="10">
        <f t="shared" si="16"/>
        <v>62867</v>
      </c>
      <c r="BY53" s="14">
        <v>123673</v>
      </c>
      <c r="BZ53" s="14">
        <v>0</v>
      </c>
      <c r="CA53" s="14">
        <v>1791</v>
      </c>
      <c r="CB53" s="14">
        <v>121882</v>
      </c>
      <c r="CC53" s="14">
        <v>48705</v>
      </c>
      <c r="CD53" s="14">
        <v>59034</v>
      </c>
      <c r="CE53" s="14">
        <v>14865</v>
      </c>
      <c r="CF53" s="14">
        <v>4</v>
      </c>
      <c r="CG53" s="14">
        <v>389</v>
      </c>
      <c r="CH53" s="14">
        <v>208</v>
      </c>
      <c r="CI53" s="14">
        <v>468</v>
      </c>
      <c r="CJ53" s="14">
        <f t="shared" si="17"/>
        <v>1069</v>
      </c>
      <c r="CK53" s="14">
        <v>59958</v>
      </c>
      <c r="CL53" s="14">
        <v>63715</v>
      </c>
      <c r="CM53" s="14">
        <v>53985</v>
      </c>
      <c r="CN53" s="11">
        <f t="shared" si="18"/>
        <v>0.43651403297405256</v>
      </c>
      <c r="CO53" s="14">
        <v>69688</v>
      </c>
      <c r="CP53" s="11">
        <f t="shared" si="19"/>
        <v>0.56348596702594744</v>
      </c>
      <c r="CQ53" s="29">
        <v>5105</v>
      </c>
      <c r="CR53" s="29">
        <v>50613</v>
      </c>
      <c r="CS53" s="29">
        <v>40319</v>
      </c>
      <c r="CT53" s="29">
        <v>24380</v>
      </c>
      <c r="CU53" s="45">
        <v>8282</v>
      </c>
      <c r="CV53" s="45">
        <v>2854</v>
      </c>
      <c r="CW53" s="45">
        <v>3680</v>
      </c>
      <c r="CX53" s="45">
        <v>1324</v>
      </c>
      <c r="CY53" s="45">
        <v>424</v>
      </c>
      <c r="CZ53" s="45">
        <v>60</v>
      </c>
      <c r="DA53" s="45">
        <v>60</v>
      </c>
      <c r="DB53" s="45">
        <v>59</v>
      </c>
      <c r="DC53" s="45">
        <v>55</v>
      </c>
    </row>
    <row r="54" spans="1:107" x14ac:dyDescent="0.35">
      <c r="A54" s="1" t="s">
        <v>299</v>
      </c>
      <c r="B54" s="5" t="s">
        <v>0</v>
      </c>
      <c r="C54" s="3" t="s">
        <v>386</v>
      </c>
      <c r="D54" s="4" t="s">
        <v>387</v>
      </c>
      <c r="E54" s="5">
        <v>3</v>
      </c>
      <c r="F54" s="5">
        <v>22</v>
      </c>
      <c r="G54" s="2">
        <v>0.80904265922455898</v>
      </c>
      <c r="H54" s="2" t="s">
        <v>1276</v>
      </c>
      <c r="I54" s="17" t="s">
        <v>121</v>
      </c>
      <c r="J5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MOHAMAD BAKHTIAR WAN CHIK </v>
      </c>
      <c r="K54" s="8">
        <v>15478</v>
      </c>
      <c r="L54" s="8" t="s">
        <v>8</v>
      </c>
      <c r="M54" s="7" t="s">
        <v>389</v>
      </c>
      <c r="N54" s="8">
        <v>24564</v>
      </c>
      <c r="O54" s="8" t="s">
        <v>23</v>
      </c>
      <c r="P54" s="7" t="s">
        <v>388</v>
      </c>
      <c r="Q54" s="8">
        <v>22982</v>
      </c>
      <c r="R54" s="8" t="s">
        <v>25</v>
      </c>
      <c r="S54" s="7" t="s">
        <v>390</v>
      </c>
      <c r="T54" s="10">
        <v>1582</v>
      </c>
      <c r="U54" s="10">
        <v>0</v>
      </c>
      <c r="V54" s="10">
        <v>1</v>
      </c>
      <c r="W54" s="10">
        <v>0</v>
      </c>
      <c r="X54" s="10">
        <v>32558</v>
      </c>
      <c r="Y54" s="12" t="s">
        <v>26</v>
      </c>
      <c r="Z54" s="12" t="s">
        <v>1277</v>
      </c>
      <c r="AA54" s="13" t="s">
        <v>391</v>
      </c>
      <c r="AB54" s="14">
        <v>6464</v>
      </c>
      <c r="AC54" s="15" t="s">
        <v>66</v>
      </c>
      <c r="AD54" s="16">
        <v>30112</v>
      </c>
      <c r="AE54" s="14">
        <v>19007</v>
      </c>
      <c r="AF54" s="14">
        <v>5298</v>
      </c>
      <c r="AG54" s="14">
        <v>25471</v>
      </c>
      <c r="AH54" s="14" t="s">
        <v>17</v>
      </c>
      <c r="AI54" s="15" t="s">
        <v>29</v>
      </c>
      <c r="AJ54" s="14">
        <v>0</v>
      </c>
      <c r="AK54" s="14">
        <v>1</v>
      </c>
      <c r="AL54" s="14">
        <v>0</v>
      </c>
      <c r="AM54" s="51">
        <v>59086</v>
      </c>
      <c r="AN54" s="51">
        <v>38340</v>
      </c>
      <c r="AO54" s="51">
        <v>17819</v>
      </c>
      <c r="AP54" s="51">
        <v>2642</v>
      </c>
      <c r="AQ54" s="51">
        <v>133</v>
      </c>
      <c r="AR54" s="51">
        <v>96</v>
      </c>
      <c r="AS54" s="51">
        <v>54</v>
      </c>
      <c r="AT54" s="51">
        <v>2</v>
      </c>
      <c r="AU54" s="51">
        <v>29099</v>
      </c>
      <c r="AV54" s="51">
        <v>29987</v>
      </c>
      <c r="AW54" s="51">
        <v>22908</v>
      </c>
      <c r="AX54" s="51">
        <v>36178</v>
      </c>
      <c r="AY54" s="14">
        <v>18788.666666666668</v>
      </c>
      <c r="AZ54" s="14">
        <v>80264</v>
      </c>
      <c r="BA54" s="14">
        <v>8</v>
      </c>
      <c r="BB54" s="14">
        <v>785</v>
      </c>
      <c r="BC54" s="14">
        <v>79471</v>
      </c>
      <c r="BD54" s="14">
        <v>52542</v>
      </c>
      <c r="BE54" s="11">
        <f>Table14[[#This Row],[Melayu_Voters_GE15]]/Table14[[#This Row],[All_Voters_GE15]]</f>
        <v>0.65461477125485901</v>
      </c>
      <c r="BF54" s="14">
        <v>23315</v>
      </c>
      <c r="BG54" s="11">
        <f>Table14[[#This Row],[Chinese_Voters_GE15]]/Table14[[#This Row],[All_Voters_GE15]]</f>
        <v>0.29047891956543409</v>
      </c>
      <c r="BH54" s="14">
        <v>3917</v>
      </c>
      <c r="BI54" s="11">
        <f>Table14[[#This Row],[India_Voters_GE15]]/Table14[[#This Row],[All_Voters_GE15]]</f>
        <v>4.8801455197847107E-2</v>
      </c>
      <c r="BJ54" s="14">
        <v>6</v>
      </c>
      <c r="BK54" s="14">
        <v>191</v>
      </c>
      <c r="BL54" s="14">
        <v>108</v>
      </c>
      <c r="BM54" s="14">
        <v>185</v>
      </c>
      <c r="BN54" s="14">
        <f>Table14[[#This Row],[Lain_Voters_GE15]]+Table14[[#This Row],[Swak_Voters_GE15]]+Table14[[#This Row],[Sabah_Voters_GE15]]+Table14[[#This Row],[OA_Voters_GE15]]</f>
        <v>490</v>
      </c>
      <c r="BO54" s="11">
        <f>Table14[[#This Row],[Base_Stock_GE15]]/Table14[[#This Row],[All_Voters_GE15]]</f>
        <v>0.40563639988039468</v>
      </c>
      <c r="BP54" s="14">
        <v>25046</v>
      </c>
      <c r="BQ54" s="10">
        <v>22942</v>
      </c>
      <c r="BR54" s="44">
        <v>14749</v>
      </c>
      <c r="BS54" s="10">
        <v>4843</v>
      </c>
      <c r="BT54" s="10">
        <v>35694</v>
      </c>
      <c r="BU54" s="10">
        <v>26142</v>
      </c>
      <c r="BV54" s="10">
        <v>13585</v>
      </c>
      <c r="BW54" s="10">
        <f t="shared" si="15"/>
        <v>40537</v>
      </c>
      <c r="BX54" s="10">
        <f t="shared" si="16"/>
        <v>39727</v>
      </c>
      <c r="BY54" s="14">
        <v>85311</v>
      </c>
      <c r="BZ54" s="14">
        <v>0</v>
      </c>
      <c r="CA54" s="14">
        <v>739</v>
      </c>
      <c r="CB54" s="14">
        <v>84572</v>
      </c>
      <c r="CC54" s="14">
        <v>55893</v>
      </c>
      <c r="CD54" s="14">
        <v>24844</v>
      </c>
      <c r="CE54" s="14">
        <v>4032</v>
      </c>
      <c r="CF54" s="14">
        <v>7</v>
      </c>
      <c r="CG54" s="14">
        <v>192</v>
      </c>
      <c r="CH54" s="14">
        <v>127</v>
      </c>
      <c r="CI54" s="14">
        <v>216</v>
      </c>
      <c r="CJ54" s="14">
        <f t="shared" si="17"/>
        <v>542</v>
      </c>
      <c r="CK54" s="14">
        <v>42478</v>
      </c>
      <c r="CL54" s="14">
        <v>42833</v>
      </c>
      <c r="CM54" s="14">
        <v>41019</v>
      </c>
      <c r="CN54" s="11">
        <f t="shared" si="18"/>
        <v>0.48081724513837604</v>
      </c>
      <c r="CO54" s="14">
        <v>44292</v>
      </c>
      <c r="CP54" s="11">
        <f t="shared" si="19"/>
        <v>0.51918275486162391</v>
      </c>
      <c r="CQ54" s="29">
        <v>4173</v>
      </c>
      <c r="CR54" s="29">
        <v>36304</v>
      </c>
      <c r="CS54" s="29">
        <v>26610</v>
      </c>
      <c r="CT54" s="29">
        <v>14312</v>
      </c>
      <c r="CU54" s="45">
        <v>8970</v>
      </c>
      <c r="CV54" s="45">
        <v>3035</v>
      </c>
      <c r="CW54" s="45">
        <v>4313</v>
      </c>
      <c r="CX54" s="45">
        <v>1148</v>
      </c>
      <c r="CY54" s="45">
        <v>474</v>
      </c>
      <c r="CZ54" s="45">
        <v>45</v>
      </c>
      <c r="DA54" s="45">
        <v>45</v>
      </c>
      <c r="DB54" s="45">
        <v>45</v>
      </c>
      <c r="DC54" s="45">
        <v>43</v>
      </c>
    </row>
    <row r="55" spans="1:107" x14ac:dyDescent="0.35">
      <c r="A55" s="1" t="s">
        <v>392</v>
      </c>
      <c r="B55" s="5" t="s">
        <v>0</v>
      </c>
      <c r="C55" s="3" t="s">
        <v>393</v>
      </c>
      <c r="D55" s="4" t="s">
        <v>394</v>
      </c>
      <c r="E55" s="5">
        <v>2</v>
      </c>
      <c r="F55" s="5">
        <v>22</v>
      </c>
      <c r="G55" s="2">
        <v>0.74340376327131297</v>
      </c>
      <c r="H55" s="2" t="s">
        <v>1276</v>
      </c>
      <c r="I55" s="9" t="s">
        <v>13</v>
      </c>
      <c r="J5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FATHUL HUZIR  AYOB </v>
      </c>
      <c r="K55" s="8">
        <v>13728</v>
      </c>
      <c r="L55" s="8" t="s">
        <v>8</v>
      </c>
      <c r="M55" s="7" t="s">
        <v>396</v>
      </c>
      <c r="N55" s="8">
        <v>5779</v>
      </c>
      <c r="O55" s="8" t="s">
        <v>397</v>
      </c>
      <c r="P55" s="7" t="s">
        <v>398</v>
      </c>
      <c r="Q55" s="8">
        <v>15105</v>
      </c>
      <c r="R55" s="8" t="s">
        <v>25</v>
      </c>
      <c r="S55" s="7" t="s">
        <v>395</v>
      </c>
      <c r="T55" s="10">
        <v>1377</v>
      </c>
      <c r="U55" s="10">
        <v>0</v>
      </c>
      <c r="V55" s="10">
        <v>0</v>
      </c>
      <c r="W55" s="10">
        <v>1</v>
      </c>
      <c r="X55" s="10">
        <v>19022</v>
      </c>
      <c r="Y55" s="12" t="s">
        <v>14</v>
      </c>
      <c r="Z55" s="12" t="s">
        <v>1277</v>
      </c>
      <c r="AA55" s="13" t="s">
        <v>399</v>
      </c>
      <c r="AB55" s="14">
        <v>5528</v>
      </c>
      <c r="AC55" s="15" t="s">
        <v>400</v>
      </c>
      <c r="AD55" s="16">
        <v>15473</v>
      </c>
      <c r="AE55" s="14">
        <v>13243</v>
      </c>
      <c r="AF55" s="14">
        <v>7715</v>
      </c>
      <c r="AG55" s="14">
        <v>6353</v>
      </c>
      <c r="AH55" s="14" t="s">
        <v>17</v>
      </c>
      <c r="AI55" s="15" t="s">
        <v>18</v>
      </c>
      <c r="AJ55" s="14">
        <v>1</v>
      </c>
      <c r="AK55" s="14">
        <v>0</v>
      </c>
      <c r="AL55" s="14">
        <v>0</v>
      </c>
      <c r="AM55" s="51">
        <v>35903</v>
      </c>
      <c r="AN55" s="51">
        <v>24799</v>
      </c>
      <c r="AO55" s="51">
        <v>5046</v>
      </c>
      <c r="AP55" s="51">
        <v>1194</v>
      </c>
      <c r="AQ55" s="51">
        <v>1096</v>
      </c>
      <c r="AR55" s="51">
        <v>216</v>
      </c>
      <c r="AS55" s="51">
        <v>295</v>
      </c>
      <c r="AT55" s="51">
        <v>3257</v>
      </c>
      <c r="AU55" s="51">
        <v>19019</v>
      </c>
      <c r="AV55" s="51">
        <v>16884</v>
      </c>
      <c r="AW55" s="51">
        <v>17318</v>
      </c>
      <c r="AX55" s="51">
        <v>18585</v>
      </c>
      <c r="AY55" s="14">
        <v>14061.333333333334</v>
      </c>
      <c r="AZ55" s="14">
        <v>47565</v>
      </c>
      <c r="BA55" s="14">
        <v>3</v>
      </c>
      <c r="BB55" s="14">
        <v>2808</v>
      </c>
      <c r="BC55" s="14">
        <v>44754</v>
      </c>
      <c r="BD55" s="14">
        <v>31842</v>
      </c>
      <c r="BE55" s="11">
        <f>Table14[[#This Row],[Melayu_Voters_GE15]]/Table14[[#This Row],[All_Voters_GE15]]</f>
        <v>0.66944181646168399</v>
      </c>
      <c r="BF55" s="14">
        <v>6372</v>
      </c>
      <c r="BG55" s="11">
        <f>Table14[[#This Row],[Chinese_Voters_GE15]]/Table14[[#This Row],[All_Voters_GE15]]</f>
        <v>0.13396404919583726</v>
      </c>
      <c r="BH55" s="14">
        <v>1451</v>
      </c>
      <c r="BI55" s="11">
        <f>Table14[[#This Row],[India_Voters_GE15]]/Table14[[#This Row],[All_Voters_GE15]]</f>
        <v>3.0505623883107326E-2</v>
      </c>
      <c r="BJ55" s="14">
        <v>5798</v>
      </c>
      <c r="BK55" s="14">
        <v>302</v>
      </c>
      <c r="BL55" s="14">
        <v>358</v>
      </c>
      <c r="BM55" s="14">
        <v>1442</v>
      </c>
      <c r="BN55" s="14">
        <f>Table14[[#This Row],[Lain_Voters_GE15]]+Table14[[#This Row],[Swak_Voters_GE15]]+Table14[[#This Row],[Sabah_Voters_GE15]]+Table14[[#This Row],[OA_Voters_GE15]]</f>
        <v>7900</v>
      </c>
      <c r="BO55" s="11">
        <f>Table14[[#This Row],[Base_Stock_GE15]]/Table14[[#This Row],[All_Voters_GE15]]</f>
        <v>0.39991590455166615</v>
      </c>
      <c r="BP55" s="14">
        <v>12191</v>
      </c>
      <c r="BQ55" s="10">
        <v>14551</v>
      </c>
      <c r="BR55" s="44">
        <v>9346</v>
      </c>
      <c r="BS55" s="10">
        <v>2977</v>
      </c>
      <c r="BT55" s="10">
        <v>24589</v>
      </c>
      <c r="BU55" s="10">
        <v>13192</v>
      </c>
      <c r="BV55" s="10">
        <v>6807</v>
      </c>
      <c r="BW55" s="10">
        <f t="shared" si="15"/>
        <v>27566</v>
      </c>
      <c r="BX55" s="10">
        <f t="shared" si="16"/>
        <v>19999</v>
      </c>
      <c r="BY55" s="14">
        <v>48970</v>
      </c>
      <c r="BZ55" s="14">
        <v>0</v>
      </c>
      <c r="CA55" s="14">
        <v>2380</v>
      </c>
      <c r="CB55" s="14">
        <v>46590</v>
      </c>
      <c r="CC55" s="14">
        <v>32953</v>
      </c>
      <c r="CD55" s="14">
        <v>6220</v>
      </c>
      <c r="CE55" s="14">
        <v>1429</v>
      </c>
      <c r="CF55" s="14">
        <v>6392</v>
      </c>
      <c r="CG55" s="14">
        <v>237</v>
      </c>
      <c r="CH55" s="14">
        <v>247</v>
      </c>
      <c r="CI55" s="14">
        <v>1492</v>
      </c>
      <c r="CJ55" s="14">
        <f t="shared" si="17"/>
        <v>8368</v>
      </c>
      <c r="CK55" s="14">
        <v>25565</v>
      </c>
      <c r="CL55" s="14">
        <v>23405</v>
      </c>
      <c r="CM55" s="14">
        <v>26527</v>
      </c>
      <c r="CN55" s="11">
        <f t="shared" si="18"/>
        <v>0.54169899938737998</v>
      </c>
      <c r="CO55" s="14">
        <v>22443</v>
      </c>
      <c r="CP55" s="11">
        <f t="shared" si="19"/>
        <v>0.45830100061261997</v>
      </c>
      <c r="CQ55" s="29">
        <v>2501</v>
      </c>
      <c r="CR55" s="29">
        <v>24230</v>
      </c>
      <c r="CS55" s="29">
        <v>14078</v>
      </c>
      <c r="CT55" s="29">
        <v>7538</v>
      </c>
      <c r="CU55" s="45">
        <v>10016</v>
      </c>
      <c r="CV55" s="45">
        <v>2788</v>
      </c>
      <c r="CW55" s="45">
        <v>3993</v>
      </c>
      <c r="CX55" s="45">
        <v>1868</v>
      </c>
      <c r="CY55" s="45">
        <v>1367</v>
      </c>
      <c r="CZ55" s="45">
        <v>60</v>
      </c>
      <c r="DA55" s="45">
        <v>60</v>
      </c>
      <c r="DB55" s="45">
        <v>60</v>
      </c>
      <c r="DC55" s="45">
        <v>60</v>
      </c>
    </row>
    <row r="56" spans="1:107" x14ac:dyDescent="0.35">
      <c r="A56" s="1" t="s">
        <v>392</v>
      </c>
      <c r="B56" s="5" t="s">
        <v>0</v>
      </c>
      <c r="C56" s="3" t="s">
        <v>401</v>
      </c>
      <c r="D56" s="4" t="s">
        <v>402</v>
      </c>
      <c r="E56" s="5">
        <v>2</v>
      </c>
      <c r="F56" s="5">
        <v>33</v>
      </c>
      <c r="G56" s="2">
        <v>0.76292286874154258</v>
      </c>
      <c r="H56" s="2" t="s">
        <v>1276</v>
      </c>
      <c r="I56" s="21" t="s">
        <v>403</v>
      </c>
      <c r="J5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DR SHAMSUL ANUAR NASARAH </v>
      </c>
      <c r="K56" s="8">
        <v>12588</v>
      </c>
      <c r="L56" s="8" t="s">
        <v>8</v>
      </c>
      <c r="M56" s="7" t="s">
        <v>404</v>
      </c>
      <c r="N56" s="8">
        <v>3382</v>
      </c>
      <c r="O56" s="8" t="s">
        <v>23</v>
      </c>
      <c r="P56" s="7" t="s">
        <v>405</v>
      </c>
      <c r="Q56" s="8">
        <v>11709</v>
      </c>
      <c r="R56" s="8" t="s">
        <v>12</v>
      </c>
      <c r="S56" s="7" t="s">
        <v>406</v>
      </c>
      <c r="T56" s="10">
        <v>879</v>
      </c>
      <c r="U56" s="10">
        <v>1</v>
      </c>
      <c r="V56" s="10">
        <v>0</v>
      </c>
      <c r="W56" s="10">
        <v>0</v>
      </c>
      <c r="X56" s="10">
        <v>20056</v>
      </c>
      <c r="Y56" s="12" t="s">
        <v>14</v>
      </c>
      <c r="Z56" s="12" t="s">
        <v>1277</v>
      </c>
      <c r="AA56" s="13" t="s">
        <v>407</v>
      </c>
      <c r="AB56" s="14">
        <v>5773</v>
      </c>
      <c r="AC56" s="15" t="s">
        <v>408</v>
      </c>
      <c r="AD56" s="16">
        <v>17728</v>
      </c>
      <c r="AE56" s="14">
        <v>12523</v>
      </c>
      <c r="AF56" s="14">
        <v>6750</v>
      </c>
      <c r="AG56" s="14">
        <v>3932</v>
      </c>
      <c r="AH56" s="14" t="s">
        <v>17</v>
      </c>
      <c r="AI56" s="15" t="s">
        <v>18</v>
      </c>
      <c r="AJ56" s="14">
        <v>1</v>
      </c>
      <c r="AK56" s="14">
        <v>0</v>
      </c>
      <c r="AL56" s="14">
        <v>0</v>
      </c>
      <c r="AM56" s="14">
        <v>29752</v>
      </c>
      <c r="AN56" s="14">
        <v>24837</v>
      </c>
      <c r="AO56" s="14">
        <v>3775</v>
      </c>
      <c r="AP56" s="14">
        <v>433</v>
      </c>
      <c r="AQ56" s="14">
        <v>41</v>
      </c>
      <c r="AR56" s="14">
        <v>21</v>
      </c>
      <c r="AS56" s="14">
        <v>10</v>
      </c>
      <c r="AT56" s="14">
        <v>635</v>
      </c>
      <c r="AU56" s="14">
        <v>14710</v>
      </c>
      <c r="AV56" s="14">
        <v>15042</v>
      </c>
      <c r="AW56" s="14">
        <v>12672</v>
      </c>
      <c r="AX56" s="14">
        <v>17080</v>
      </c>
      <c r="AY56" s="14">
        <v>12266.666666666666</v>
      </c>
      <c r="AZ56" s="14">
        <v>36950</v>
      </c>
      <c r="BA56" s="14">
        <v>1</v>
      </c>
      <c r="BB56" s="14">
        <v>51</v>
      </c>
      <c r="BC56" s="14">
        <v>36898</v>
      </c>
      <c r="BD56" s="14">
        <v>30782</v>
      </c>
      <c r="BE56" s="11">
        <f>Table14[[#This Row],[Melayu_Voters_GE15]]/Table14[[#This Row],[All_Voters_GE15]]</f>
        <v>0.83307171853856565</v>
      </c>
      <c r="BF56" s="14">
        <v>4339</v>
      </c>
      <c r="BG56" s="11">
        <f>Table14[[#This Row],[Chinese_Voters_GE15]]/Table14[[#This Row],[All_Voters_GE15]]</f>
        <v>0.11742895805142084</v>
      </c>
      <c r="BH56" s="14">
        <v>524</v>
      </c>
      <c r="BI56" s="11">
        <f>Table14[[#This Row],[India_Voters_GE15]]/Table14[[#This Row],[All_Voters_GE15]]</f>
        <v>1.4181326116373478E-2</v>
      </c>
      <c r="BJ56" s="14">
        <v>1181</v>
      </c>
      <c r="BK56" s="14">
        <v>45</v>
      </c>
      <c r="BL56" s="14">
        <v>18</v>
      </c>
      <c r="BM56" s="14">
        <v>61</v>
      </c>
      <c r="BN56" s="14">
        <f>Table14[[#This Row],[Lain_Voters_GE15]]+Table14[[#This Row],[Swak_Voters_GE15]]+Table14[[#This Row],[Sabah_Voters_GE15]]+Table14[[#This Row],[OA_Voters_GE15]]</f>
        <v>1305</v>
      </c>
      <c r="BO56" s="11">
        <f>Table14[[#This Row],[Base_Stock_GE15]]/Table14[[#This Row],[All_Voters_GE15]]</f>
        <v>0.542787550744249</v>
      </c>
      <c r="BP56" s="14">
        <v>15335</v>
      </c>
      <c r="BQ56" s="10">
        <v>9276</v>
      </c>
      <c r="BR56" s="44">
        <v>5654</v>
      </c>
      <c r="BS56" s="10">
        <v>1792</v>
      </c>
      <c r="BT56" s="10">
        <v>17201</v>
      </c>
      <c r="BU56" s="10">
        <v>10984</v>
      </c>
      <c r="BV56" s="10">
        <v>6973</v>
      </c>
      <c r="BW56" s="10">
        <f t="shared" si="15"/>
        <v>18993</v>
      </c>
      <c r="BX56" s="10">
        <f t="shared" si="16"/>
        <v>17957</v>
      </c>
      <c r="BY56" s="14">
        <v>37403</v>
      </c>
      <c r="BZ56" s="14">
        <v>0</v>
      </c>
      <c r="CA56" s="14">
        <v>57</v>
      </c>
      <c r="CB56" s="14">
        <v>37346</v>
      </c>
      <c r="CC56" s="14">
        <v>31310</v>
      </c>
      <c r="CD56" s="14">
        <v>4081</v>
      </c>
      <c r="CE56" s="14">
        <v>498</v>
      </c>
      <c r="CF56" s="14">
        <v>1370</v>
      </c>
      <c r="CG56" s="14">
        <v>56</v>
      </c>
      <c r="CH56" s="14">
        <v>17</v>
      </c>
      <c r="CI56" s="14">
        <v>71</v>
      </c>
      <c r="CJ56" s="14">
        <f t="shared" si="17"/>
        <v>1514</v>
      </c>
      <c r="CK56" s="14">
        <v>18486</v>
      </c>
      <c r="CL56" s="14">
        <v>18917</v>
      </c>
      <c r="CM56" s="14">
        <v>17599</v>
      </c>
      <c r="CN56" s="11">
        <f t="shared" si="18"/>
        <v>0.47052375477902841</v>
      </c>
      <c r="CO56" s="14">
        <v>19804</v>
      </c>
      <c r="CP56" s="11">
        <f t="shared" si="19"/>
        <v>0.52947624522097159</v>
      </c>
      <c r="CQ56" s="29">
        <v>1536</v>
      </c>
      <c r="CR56" s="29">
        <v>16495</v>
      </c>
      <c r="CS56" s="29">
        <v>11724</v>
      </c>
      <c r="CT56" s="29">
        <v>7462</v>
      </c>
      <c r="CU56" s="45">
        <v>10968</v>
      </c>
      <c r="CV56" s="45">
        <v>3292</v>
      </c>
      <c r="CW56" s="45">
        <v>4699</v>
      </c>
      <c r="CX56" s="45">
        <v>1826</v>
      </c>
      <c r="CY56" s="45">
        <v>1151</v>
      </c>
      <c r="CZ56" s="45">
        <v>67</v>
      </c>
      <c r="DA56" s="45">
        <v>67</v>
      </c>
      <c r="DB56" s="45">
        <v>67</v>
      </c>
      <c r="DC56" s="45">
        <v>66</v>
      </c>
    </row>
    <row r="57" spans="1:107" x14ac:dyDescent="0.35">
      <c r="A57" s="1" t="s">
        <v>392</v>
      </c>
      <c r="B57" s="5" t="s">
        <v>0</v>
      </c>
      <c r="C57" s="3" t="s">
        <v>409</v>
      </c>
      <c r="D57" s="4" t="s">
        <v>410</v>
      </c>
      <c r="E57" s="5">
        <v>3</v>
      </c>
      <c r="F57" s="5">
        <v>46</v>
      </c>
      <c r="G57" s="2">
        <v>0.80287283738340509</v>
      </c>
      <c r="H57" s="2" t="s">
        <v>1276</v>
      </c>
      <c r="I57" s="9" t="s">
        <v>13</v>
      </c>
      <c r="J5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DATO’ SERI HAMZAH BIN ZAINUDIN </v>
      </c>
      <c r="K57" s="8">
        <v>16752</v>
      </c>
      <c r="L57" s="8" t="s">
        <v>8</v>
      </c>
      <c r="M57" s="7" t="s">
        <v>412</v>
      </c>
      <c r="N57" s="8">
        <v>6207</v>
      </c>
      <c r="O57" s="8" t="s">
        <v>10</v>
      </c>
      <c r="P57" s="7" t="s">
        <v>413</v>
      </c>
      <c r="Q57" s="8">
        <v>28350</v>
      </c>
      <c r="R57" s="8" t="s">
        <v>25</v>
      </c>
      <c r="S57" s="7" t="s">
        <v>411</v>
      </c>
      <c r="T57" s="10">
        <v>11598</v>
      </c>
      <c r="U57" s="10">
        <v>0</v>
      </c>
      <c r="V57" s="10">
        <v>0</v>
      </c>
      <c r="W57" s="10">
        <v>1</v>
      </c>
      <c r="X57" s="10">
        <v>25993</v>
      </c>
      <c r="Y57" s="12" t="s">
        <v>14</v>
      </c>
      <c r="Z57" s="12" t="s">
        <v>1277</v>
      </c>
      <c r="AA57" s="13" t="s">
        <v>414</v>
      </c>
      <c r="AB57" s="14">
        <v>4486</v>
      </c>
      <c r="AC57" s="15" t="s">
        <v>415</v>
      </c>
      <c r="AD57" s="16">
        <v>25756</v>
      </c>
      <c r="AE57" s="14">
        <v>18184</v>
      </c>
      <c r="AF57" s="14">
        <v>13698</v>
      </c>
      <c r="AG57" s="14">
        <v>7738</v>
      </c>
      <c r="AH57" s="14" t="s">
        <v>17</v>
      </c>
      <c r="AI57" s="15" t="s">
        <v>18</v>
      </c>
      <c r="AJ57" s="14">
        <v>1</v>
      </c>
      <c r="AK57" s="14">
        <v>0</v>
      </c>
      <c r="AL57" s="14">
        <v>0</v>
      </c>
      <c r="AM57" s="51">
        <v>49453</v>
      </c>
      <c r="AN57" s="51">
        <v>44353</v>
      </c>
      <c r="AO57" s="51">
        <v>2147</v>
      </c>
      <c r="AP57" s="51">
        <v>2803</v>
      </c>
      <c r="AQ57" s="51">
        <v>101</v>
      </c>
      <c r="AR57" s="51">
        <v>29</v>
      </c>
      <c r="AS57" s="51">
        <v>18</v>
      </c>
      <c r="AT57" s="51">
        <v>2</v>
      </c>
      <c r="AU57" s="51">
        <v>23953</v>
      </c>
      <c r="AV57" s="51">
        <v>25500</v>
      </c>
      <c r="AW57" s="51">
        <v>19685</v>
      </c>
      <c r="AX57" s="51">
        <v>29768</v>
      </c>
      <c r="AY57" s="14">
        <v>18748.666666666668</v>
      </c>
      <c r="AZ57" s="14">
        <v>65719</v>
      </c>
      <c r="BA57" s="14">
        <v>5</v>
      </c>
      <c r="BB57" s="14">
        <v>224</v>
      </c>
      <c r="BC57" s="14">
        <v>65490</v>
      </c>
      <c r="BD57" s="14">
        <v>59235</v>
      </c>
      <c r="BE57" s="11">
        <f>Table14[[#This Row],[Melayu_Voters_GE15]]/Table14[[#This Row],[All_Voters_GE15]]</f>
        <v>0.90133751274365104</v>
      </c>
      <c r="BF57" s="14">
        <v>2553</v>
      </c>
      <c r="BG57" s="11">
        <f>Table14[[#This Row],[Chinese_Voters_GE15]]/Table14[[#This Row],[All_Voters_GE15]]</f>
        <v>3.8847213134709901E-2</v>
      </c>
      <c r="BH57" s="14">
        <v>3707</v>
      </c>
      <c r="BI57" s="11">
        <f>Table14[[#This Row],[India_Voters_GE15]]/Table14[[#This Row],[All_Voters_GE15]]</f>
        <v>5.640682298878559E-2</v>
      </c>
      <c r="BJ57" s="14">
        <v>8</v>
      </c>
      <c r="BK57" s="14">
        <v>56</v>
      </c>
      <c r="BL57" s="14">
        <v>27</v>
      </c>
      <c r="BM57" s="14">
        <v>133</v>
      </c>
      <c r="BN57" s="14">
        <f>Table14[[#This Row],[Lain_Voters_GE15]]+Table14[[#This Row],[Swak_Voters_GE15]]+Table14[[#This Row],[Sabah_Voters_GE15]]+Table14[[#This Row],[OA_Voters_GE15]]</f>
        <v>224</v>
      </c>
      <c r="BO57" s="11">
        <f>Table14[[#This Row],[Base_Stock_GE15]]/Table14[[#This Row],[All_Voters_GE15]]</f>
        <v>0.39551727810830961</v>
      </c>
      <c r="BP57" s="14">
        <v>20182</v>
      </c>
      <c r="BQ57" s="10">
        <v>19893</v>
      </c>
      <c r="BR57" s="44">
        <v>11337</v>
      </c>
      <c r="BS57" s="10">
        <v>3547</v>
      </c>
      <c r="BT57" s="10">
        <v>30738</v>
      </c>
      <c r="BU57" s="10">
        <v>19871</v>
      </c>
      <c r="BV57" s="10">
        <v>11563</v>
      </c>
      <c r="BW57" s="10">
        <f t="shared" si="15"/>
        <v>34285</v>
      </c>
      <c r="BX57" s="10">
        <f t="shared" si="16"/>
        <v>31434</v>
      </c>
      <c r="BY57" s="14">
        <v>66175</v>
      </c>
      <c r="BZ57" s="14">
        <v>0</v>
      </c>
      <c r="CA57" s="14">
        <v>217</v>
      </c>
      <c r="CB57" s="14">
        <v>65958</v>
      </c>
      <c r="CC57" s="14">
        <v>59905</v>
      </c>
      <c r="CD57" s="14">
        <v>2403</v>
      </c>
      <c r="CE57" s="14">
        <v>3614</v>
      </c>
      <c r="CF57" s="14">
        <v>8</v>
      </c>
      <c r="CG57" s="14">
        <v>79</v>
      </c>
      <c r="CH57" s="14">
        <v>31</v>
      </c>
      <c r="CI57" s="14">
        <v>135</v>
      </c>
      <c r="CJ57" s="14">
        <f t="shared" si="17"/>
        <v>253</v>
      </c>
      <c r="CK57" s="14">
        <v>32544</v>
      </c>
      <c r="CL57" s="14">
        <v>33631</v>
      </c>
      <c r="CM57" s="14">
        <v>31965</v>
      </c>
      <c r="CN57" s="11">
        <f t="shared" si="18"/>
        <v>0.48303740083112956</v>
      </c>
      <c r="CO57" s="14">
        <v>34210</v>
      </c>
      <c r="CP57" s="11">
        <f t="shared" si="19"/>
        <v>0.51696259916887044</v>
      </c>
      <c r="CQ57" s="29">
        <v>2875</v>
      </c>
      <c r="CR57" s="29">
        <v>29912</v>
      </c>
      <c r="CS57" s="29">
        <v>21049</v>
      </c>
      <c r="CT57" s="29">
        <v>12305</v>
      </c>
      <c r="CU57" s="45">
        <v>15534</v>
      </c>
      <c r="CV57" s="45">
        <v>5374</v>
      </c>
      <c r="CW57" s="45">
        <v>7311</v>
      </c>
      <c r="CX57" s="45">
        <v>1846</v>
      </c>
      <c r="CY57" s="45">
        <v>1003</v>
      </c>
      <c r="CZ57" s="45">
        <v>103</v>
      </c>
      <c r="DA57" s="45">
        <v>103</v>
      </c>
      <c r="DB57" s="45">
        <v>101</v>
      </c>
      <c r="DC57" s="45">
        <v>94</v>
      </c>
    </row>
    <row r="58" spans="1:107" x14ac:dyDescent="0.35">
      <c r="A58" s="1" t="s">
        <v>392</v>
      </c>
      <c r="B58" s="5" t="s">
        <v>0</v>
      </c>
      <c r="C58" s="3" t="s">
        <v>416</v>
      </c>
      <c r="D58" s="4" t="s">
        <v>417</v>
      </c>
      <c r="E58" s="5">
        <v>2</v>
      </c>
      <c r="F58" s="5">
        <v>32</v>
      </c>
      <c r="G58" s="2">
        <v>0.78240051385361009</v>
      </c>
      <c r="H58" s="2" t="s">
        <v>1276</v>
      </c>
      <c r="I58" s="9" t="s">
        <v>13</v>
      </c>
      <c r="J5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MISBAH </v>
      </c>
      <c r="K58" s="8">
        <v>11593</v>
      </c>
      <c r="L58" s="8" t="s">
        <v>8</v>
      </c>
      <c r="M58" s="7" t="s">
        <v>419</v>
      </c>
      <c r="N58" s="8">
        <v>17828</v>
      </c>
      <c r="O58" s="8" t="s">
        <v>10</v>
      </c>
      <c r="P58" s="7" t="s">
        <v>420</v>
      </c>
      <c r="Q58" s="8">
        <v>23223</v>
      </c>
      <c r="R58" s="8" t="s">
        <v>12</v>
      </c>
      <c r="S58" s="7" t="s">
        <v>418</v>
      </c>
      <c r="T58" s="10">
        <v>5395</v>
      </c>
      <c r="U58" s="10">
        <v>0</v>
      </c>
      <c r="V58" s="10">
        <v>0</v>
      </c>
      <c r="W58" s="10">
        <v>1</v>
      </c>
      <c r="X58" s="10">
        <v>19846</v>
      </c>
      <c r="Y58" s="12" t="s">
        <v>72</v>
      </c>
      <c r="Z58" s="12" t="s">
        <v>1277</v>
      </c>
      <c r="AA58" s="13" t="s">
        <v>421</v>
      </c>
      <c r="AB58" s="14">
        <v>3098</v>
      </c>
      <c r="AC58" s="15" t="s">
        <v>385</v>
      </c>
      <c r="AD58" s="16">
        <v>18511</v>
      </c>
      <c r="AE58" s="14">
        <v>13655</v>
      </c>
      <c r="AF58" s="14">
        <v>12312</v>
      </c>
      <c r="AG58" s="14">
        <v>16753</v>
      </c>
      <c r="AH58" s="14" t="s">
        <v>17</v>
      </c>
      <c r="AI58" s="15" t="s">
        <v>10</v>
      </c>
      <c r="AJ58" s="14">
        <v>0</v>
      </c>
      <c r="AK58" s="14">
        <v>1</v>
      </c>
      <c r="AL58" s="14">
        <v>0</v>
      </c>
      <c r="AM58" s="51">
        <v>51860</v>
      </c>
      <c r="AN58" s="51">
        <v>35965</v>
      </c>
      <c r="AO58" s="51">
        <v>13327</v>
      </c>
      <c r="AP58" s="51">
        <v>2479</v>
      </c>
      <c r="AQ58" s="51">
        <v>55</v>
      </c>
      <c r="AR58" s="51">
        <v>26</v>
      </c>
      <c r="AS58" s="51">
        <v>8</v>
      </c>
      <c r="AT58" s="51">
        <v>0</v>
      </c>
      <c r="AU58" s="51">
        <v>25816</v>
      </c>
      <c r="AV58" s="51">
        <v>26044</v>
      </c>
      <c r="AW58" s="51">
        <v>18919</v>
      </c>
      <c r="AX58" s="51">
        <v>32941</v>
      </c>
      <c r="AY58" s="14">
        <v>14954.666666666666</v>
      </c>
      <c r="AZ58" s="14">
        <v>68502</v>
      </c>
      <c r="BA58" s="14">
        <v>5</v>
      </c>
      <c r="BB58" s="14">
        <v>96</v>
      </c>
      <c r="BC58" s="14">
        <v>68401</v>
      </c>
      <c r="BD58" s="14">
        <v>46998</v>
      </c>
      <c r="BE58" s="11">
        <f>Table14[[#This Row],[Melayu_Voters_GE15]]/Table14[[#This Row],[All_Voters_GE15]]</f>
        <v>0.68608215818516249</v>
      </c>
      <c r="BF58" s="14">
        <v>17680</v>
      </c>
      <c r="BG58" s="11">
        <f>Table14[[#This Row],[Chinese_Voters_GE15]]/Table14[[#This Row],[All_Voters_GE15]]</f>
        <v>0.25809465417068117</v>
      </c>
      <c r="BH58" s="14">
        <v>3506</v>
      </c>
      <c r="BI58" s="11">
        <f>Table14[[#This Row],[India_Voters_GE15]]/Table14[[#This Row],[All_Voters_GE15]]</f>
        <v>5.1180987416425801E-2</v>
      </c>
      <c r="BJ58" s="14">
        <v>1</v>
      </c>
      <c r="BK58" s="14">
        <v>46</v>
      </c>
      <c r="BL58" s="14">
        <v>19</v>
      </c>
      <c r="BM58" s="14">
        <v>252</v>
      </c>
      <c r="BN58" s="14">
        <f>Table14[[#This Row],[Lain_Voters_GE15]]+Table14[[#This Row],[Swak_Voters_GE15]]+Table14[[#This Row],[Sabah_Voters_GE15]]+Table14[[#This Row],[OA_Voters_GE15]]</f>
        <v>318</v>
      </c>
      <c r="BO58" s="11">
        <f>Table14[[#This Row],[Base_Stock_GE15]]/Table14[[#This Row],[All_Voters_GE15]]</f>
        <v>0.28971416892937435</v>
      </c>
      <c r="BP58" s="14">
        <v>15870</v>
      </c>
      <c r="BQ58" s="10">
        <v>20552</v>
      </c>
      <c r="BR58" s="44">
        <v>10963</v>
      </c>
      <c r="BS58" s="10">
        <v>3426</v>
      </c>
      <c r="BT58" s="10">
        <v>29019</v>
      </c>
      <c r="BU58" s="10">
        <v>23575</v>
      </c>
      <c r="BV58" s="10">
        <v>12482</v>
      </c>
      <c r="BW58" s="10">
        <f t="shared" si="15"/>
        <v>32445</v>
      </c>
      <c r="BX58" s="10">
        <f t="shared" si="16"/>
        <v>36057</v>
      </c>
      <c r="BY58" s="14">
        <v>67664</v>
      </c>
      <c r="BZ58" s="14">
        <v>0</v>
      </c>
      <c r="CA58" s="14">
        <v>82</v>
      </c>
      <c r="CB58" s="14">
        <v>67582</v>
      </c>
      <c r="CC58" s="14">
        <v>47071</v>
      </c>
      <c r="CD58" s="14">
        <v>16900</v>
      </c>
      <c r="CE58" s="14">
        <v>3347</v>
      </c>
      <c r="CF58" s="14">
        <v>1</v>
      </c>
      <c r="CG58" s="14">
        <v>52</v>
      </c>
      <c r="CH58" s="14">
        <v>21</v>
      </c>
      <c r="CI58" s="14">
        <v>272</v>
      </c>
      <c r="CJ58" s="14">
        <f t="shared" si="17"/>
        <v>346</v>
      </c>
      <c r="CK58" s="14">
        <v>33850</v>
      </c>
      <c r="CL58" s="14">
        <v>33814</v>
      </c>
      <c r="CM58" s="14">
        <v>30225</v>
      </c>
      <c r="CN58" s="11">
        <f t="shared" si="18"/>
        <v>0.44669248049184207</v>
      </c>
      <c r="CO58" s="14">
        <v>37439</v>
      </c>
      <c r="CP58" s="11">
        <f t="shared" si="19"/>
        <v>0.55330751950815793</v>
      </c>
      <c r="CQ58" s="29">
        <v>2701</v>
      </c>
      <c r="CR58" s="29">
        <v>28227</v>
      </c>
      <c r="CS58" s="29">
        <v>23327</v>
      </c>
      <c r="CT58" s="29">
        <v>13323</v>
      </c>
      <c r="CU58" s="45">
        <v>11495</v>
      </c>
      <c r="CV58" s="45">
        <v>4719</v>
      </c>
      <c r="CW58" s="45">
        <v>5105</v>
      </c>
      <c r="CX58" s="45">
        <v>1171</v>
      </c>
      <c r="CY58" s="45">
        <v>500</v>
      </c>
      <c r="CZ58" s="45">
        <v>89</v>
      </c>
      <c r="DA58" s="45">
        <v>89</v>
      </c>
      <c r="DB58" s="45">
        <v>84</v>
      </c>
      <c r="DC58" s="45">
        <v>70</v>
      </c>
    </row>
    <row r="59" spans="1:107" x14ac:dyDescent="0.35">
      <c r="A59" s="1" t="s">
        <v>392</v>
      </c>
      <c r="B59" s="5" t="s">
        <v>0</v>
      </c>
      <c r="C59" s="3" t="s">
        <v>422</v>
      </c>
      <c r="D59" s="4" t="s">
        <v>423</v>
      </c>
      <c r="E59" s="5">
        <v>3</v>
      </c>
      <c r="F59" s="5">
        <v>45</v>
      </c>
      <c r="G59" s="2">
        <v>0.79109013239012116</v>
      </c>
      <c r="H59" s="2" t="s">
        <v>1276</v>
      </c>
      <c r="I59" s="9" t="s">
        <v>13</v>
      </c>
      <c r="J5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IDRIS AHMAD </v>
      </c>
      <c r="K59" s="8">
        <v>15202</v>
      </c>
      <c r="L59" s="8" t="s">
        <v>8</v>
      </c>
      <c r="M59" s="7" t="s">
        <v>425</v>
      </c>
      <c r="N59" s="8">
        <v>13195</v>
      </c>
      <c r="O59" s="8" t="s">
        <v>23</v>
      </c>
      <c r="P59" s="7" t="s">
        <v>426</v>
      </c>
      <c r="Q59" s="8">
        <v>33753</v>
      </c>
      <c r="R59" s="8" t="s">
        <v>12</v>
      </c>
      <c r="S59" s="7" t="s">
        <v>424</v>
      </c>
      <c r="T59" s="10">
        <v>18551</v>
      </c>
      <c r="U59" s="10">
        <v>0</v>
      </c>
      <c r="V59" s="10">
        <v>0</v>
      </c>
      <c r="W59" s="10">
        <v>1</v>
      </c>
      <c r="X59" s="10">
        <v>24040</v>
      </c>
      <c r="Y59" s="12" t="s">
        <v>14</v>
      </c>
      <c r="Z59" s="12" t="s">
        <v>1277</v>
      </c>
      <c r="AA59" s="13" t="s">
        <v>427</v>
      </c>
      <c r="AB59" s="14">
        <v>172</v>
      </c>
      <c r="AC59" s="15" t="s">
        <v>428</v>
      </c>
      <c r="AD59" s="16">
        <v>29671</v>
      </c>
      <c r="AE59" s="14">
        <v>17220</v>
      </c>
      <c r="AF59" s="14">
        <v>17048</v>
      </c>
      <c r="AG59" s="14">
        <v>12987</v>
      </c>
      <c r="AH59" s="14" t="s">
        <v>17</v>
      </c>
      <c r="AI59" s="15" t="s">
        <v>18</v>
      </c>
      <c r="AJ59" s="14">
        <v>1</v>
      </c>
      <c r="AK59" s="14">
        <v>0</v>
      </c>
      <c r="AL59" s="14">
        <v>0</v>
      </c>
      <c r="AM59" s="51">
        <v>59293</v>
      </c>
      <c r="AN59" s="51">
        <v>46185</v>
      </c>
      <c r="AO59" s="51">
        <v>7641</v>
      </c>
      <c r="AP59" s="51">
        <v>5356</v>
      </c>
      <c r="AQ59" s="51">
        <v>69</v>
      </c>
      <c r="AR59" s="51">
        <v>26</v>
      </c>
      <c r="AS59" s="51">
        <v>15</v>
      </c>
      <c r="AT59" s="51">
        <v>1</v>
      </c>
      <c r="AU59" s="51">
        <v>29181</v>
      </c>
      <c r="AV59" s="51">
        <v>30112</v>
      </c>
      <c r="AW59" s="51">
        <v>22847</v>
      </c>
      <c r="AX59" s="51">
        <v>36446</v>
      </c>
      <c r="AY59" s="14">
        <v>18588</v>
      </c>
      <c r="AZ59" s="14">
        <v>80293</v>
      </c>
      <c r="BA59" s="14">
        <v>3</v>
      </c>
      <c r="BB59" s="14">
        <v>328</v>
      </c>
      <c r="BC59" s="14">
        <v>79962</v>
      </c>
      <c r="BD59" s="14">
        <v>63017</v>
      </c>
      <c r="BE59" s="11">
        <f>Table14[[#This Row],[Melayu_Voters_GE15]]/Table14[[#This Row],[All_Voters_GE15]]</f>
        <v>0.78483803071251546</v>
      </c>
      <c r="BF59" s="14">
        <v>9884</v>
      </c>
      <c r="BG59" s="11">
        <f>Table14[[#This Row],[Chinese_Voters_GE15]]/Table14[[#This Row],[All_Voters_GE15]]</f>
        <v>0.12309914936544904</v>
      </c>
      <c r="BH59" s="14">
        <v>7224</v>
      </c>
      <c r="BI59" s="11">
        <f>Table14[[#This Row],[India_Voters_GE15]]/Table14[[#This Row],[All_Voters_GE15]]</f>
        <v>8.9970483105625651E-2</v>
      </c>
      <c r="BJ59" s="14">
        <v>5</v>
      </c>
      <c r="BK59" s="14">
        <v>48</v>
      </c>
      <c r="BL59" s="14">
        <v>31</v>
      </c>
      <c r="BM59" s="14">
        <v>84</v>
      </c>
      <c r="BN59" s="14">
        <f>Table14[[#This Row],[Lain_Voters_GE15]]+Table14[[#This Row],[Swak_Voters_GE15]]+Table14[[#This Row],[Sabah_Voters_GE15]]+Table14[[#This Row],[OA_Voters_GE15]]</f>
        <v>168</v>
      </c>
      <c r="BO59" s="11">
        <f>Table14[[#This Row],[Base_Stock_GE15]]/Table14[[#This Row],[All_Voters_GE15]]</f>
        <v>0.29940343491960691</v>
      </c>
      <c r="BP59" s="14">
        <v>15792</v>
      </c>
      <c r="BQ59" s="10">
        <v>25347</v>
      </c>
      <c r="BR59" s="44">
        <v>14111</v>
      </c>
      <c r="BS59" s="10">
        <v>4545</v>
      </c>
      <c r="BT59" s="10">
        <v>36289</v>
      </c>
      <c r="BU59" s="10">
        <v>25980</v>
      </c>
      <c r="BV59" s="10">
        <v>13479</v>
      </c>
      <c r="BW59" s="10">
        <f t="shared" si="15"/>
        <v>40834</v>
      </c>
      <c r="BX59" s="10">
        <f t="shared" si="16"/>
        <v>39459</v>
      </c>
      <c r="BY59" s="14">
        <v>80723</v>
      </c>
      <c r="BZ59" s="14">
        <v>0</v>
      </c>
      <c r="CA59" s="14">
        <v>292</v>
      </c>
      <c r="CB59" s="14">
        <v>80431</v>
      </c>
      <c r="CC59" s="14">
        <v>64131</v>
      </c>
      <c r="CD59" s="14">
        <v>9542</v>
      </c>
      <c r="CE59" s="14">
        <v>6864</v>
      </c>
      <c r="CF59" s="14">
        <v>4</v>
      </c>
      <c r="CG59" s="14">
        <v>57</v>
      </c>
      <c r="CH59" s="14">
        <v>35</v>
      </c>
      <c r="CI59" s="14">
        <v>90</v>
      </c>
      <c r="CJ59" s="14">
        <f t="shared" si="17"/>
        <v>186</v>
      </c>
      <c r="CK59" s="14">
        <v>40071</v>
      </c>
      <c r="CL59" s="14">
        <v>40652</v>
      </c>
      <c r="CM59" s="14">
        <v>38745</v>
      </c>
      <c r="CN59" s="11">
        <f t="shared" si="18"/>
        <v>0.47997472839215588</v>
      </c>
      <c r="CO59" s="14">
        <v>41978</v>
      </c>
      <c r="CP59" s="11">
        <f t="shared" si="19"/>
        <v>0.52002527160784406</v>
      </c>
      <c r="CQ59" s="29">
        <v>3618</v>
      </c>
      <c r="CR59" s="29">
        <v>35907</v>
      </c>
      <c r="CS59" s="29">
        <v>26499</v>
      </c>
      <c r="CT59" s="29">
        <v>14453</v>
      </c>
      <c r="CU59" s="45">
        <v>14510</v>
      </c>
      <c r="CV59" s="45">
        <v>5295</v>
      </c>
      <c r="CW59" s="45">
        <v>6638</v>
      </c>
      <c r="CX59" s="45">
        <v>1687</v>
      </c>
      <c r="CY59" s="45">
        <v>890</v>
      </c>
      <c r="CZ59" s="45">
        <v>114</v>
      </c>
      <c r="DA59" s="45">
        <v>114</v>
      </c>
      <c r="DB59" s="45">
        <v>113</v>
      </c>
      <c r="DC59" s="45">
        <v>107</v>
      </c>
    </row>
    <row r="60" spans="1:107" x14ac:dyDescent="0.35">
      <c r="A60" s="1" t="s">
        <v>392</v>
      </c>
      <c r="B60" s="5" t="s">
        <v>0</v>
      </c>
      <c r="C60" s="3" t="s">
        <v>429</v>
      </c>
      <c r="D60" s="4" t="s">
        <v>430</v>
      </c>
      <c r="E60" s="5">
        <v>3</v>
      </c>
      <c r="F60" s="5">
        <v>37</v>
      </c>
      <c r="G60" s="2">
        <v>0.7717314037749462</v>
      </c>
      <c r="H60" s="2" t="s">
        <v>1276</v>
      </c>
      <c r="I60" s="9" t="s">
        <v>13</v>
      </c>
      <c r="J6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SYED ABU HUSSIN </v>
      </c>
      <c r="K60" s="8">
        <v>19869</v>
      </c>
      <c r="L60" s="8" t="s">
        <v>8</v>
      </c>
      <c r="M60" s="7" t="s">
        <v>432</v>
      </c>
      <c r="N60" s="8">
        <v>18565</v>
      </c>
      <c r="O60" s="8" t="s">
        <v>10</v>
      </c>
      <c r="P60" s="7" t="s">
        <v>433</v>
      </c>
      <c r="Q60" s="8">
        <v>32625</v>
      </c>
      <c r="R60" s="8" t="s">
        <v>25</v>
      </c>
      <c r="S60" s="7" t="s">
        <v>431</v>
      </c>
      <c r="T60" s="10">
        <v>12756</v>
      </c>
      <c r="U60" s="10">
        <v>0</v>
      </c>
      <c r="V60" s="10">
        <v>0</v>
      </c>
      <c r="W60" s="10">
        <v>1</v>
      </c>
      <c r="X60" s="10">
        <v>37707</v>
      </c>
      <c r="Y60" s="12" t="s">
        <v>14</v>
      </c>
      <c r="Z60" s="12" t="s">
        <v>1277</v>
      </c>
      <c r="AA60" s="13" t="s">
        <v>434</v>
      </c>
      <c r="AB60" s="14">
        <v>4089</v>
      </c>
      <c r="AC60" s="15" t="s">
        <v>52</v>
      </c>
      <c r="AD60" s="16">
        <v>36166</v>
      </c>
      <c r="AE60" s="14">
        <v>22450</v>
      </c>
      <c r="AF60" s="14">
        <v>16052</v>
      </c>
      <c r="AG60" s="14">
        <v>18361</v>
      </c>
      <c r="AH60" s="14" t="s">
        <v>17</v>
      </c>
      <c r="AI60" s="15" t="s">
        <v>18</v>
      </c>
      <c r="AJ60" s="14">
        <v>1</v>
      </c>
      <c r="AK60" s="14">
        <v>0</v>
      </c>
      <c r="AL60" s="14">
        <v>0</v>
      </c>
      <c r="AM60" s="51">
        <v>69873</v>
      </c>
      <c r="AN60" s="51">
        <v>50582</v>
      </c>
      <c r="AO60" s="51">
        <v>13208</v>
      </c>
      <c r="AP60" s="51">
        <v>5919</v>
      </c>
      <c r="AQ60" s="51">
        <v>94</v>
      </c>
      <c r="AR60" s="51">
        <v>35</v>
      </c>
      <c r="AS60" s="51">
        <v>30</v>
      </c>
      <c r="AT60" s="51">
        <v>5</v>
      </c>
      <c r="AU60" s="51">
        <v>34312</v>
      </c>
      <c r="AV60" s="51">
        <v>35561</v>
      </c>
      <c r="AW60" s="51">
        <v>28521</v>
      </c>
      <c r="AX60" s="51">
        <v>41352</v>
      </c>
      <c r="AY60" s="14">
        <v>23492</v>
      </c>
      <c r="AZ60" s="14">
        <v>94253</v>
      </c>
      <c r="BA60" s="14">
        <v>8</v>
      </c>
      <c r="BB60" s="14">
        <v>78</v>
      </c>
      <c r="BC60" s="14">
        <v>94167</v>
      </c>
      <c r="BD60" s="14">
        <v>67456</v>
      </c>
      <c r="BE60" s="11">
        <f>Table14[[#This Row],[Melayu_Voters_GE15]]/Table14[[#This Row],[All_Voters_GE15]]</f>
        <v>0.71569074724411952</v>
      </c>
      <c r="BF60" s="14">
        <v>17954</v>
      </c>
      <c r="BG60" s="11">
        <f>Table14[[#This Row],[Chinese_Voters_GE15]]/Table14[[#This Row],[All_Voters_GE15]]</f>
        <v>0.19048730544385856</v>
      </c>
      <c r="BH60" s="14">
        <v>8581</v>
      </c>
      <c r="BI60" s="11">
        <f>Table14[[#This Row],[India_Voters_GE15]]/Table14[[#This Row],[All_Voters_GE15]]</f>
        <v>9.1042194943397034E-2</v>
      </c>
      <c r="BJ60" s="14">
        <v>10</v>
      </c>
      <c r="BK60" s="14">
        <v>97</v>
      </c>
      <c r="BL60" s="14">
        <v>67</v>
      </c>
      <c r="BM60" s="14">
        <v>88</v>
      </c>
      <c r="BN60" s="14">
        <f>Table14[[#This Row],[Lain_Voters_GE15]]+Table14[[#This Row],[Swak_Voters_GE15]]+Table14[[#This Row],[Sabah_Voters_GE15]]+Table14[[#This Row],[OA_Voters_GE15]]</f>
        <v>262</v>
      </c>
      <c r="BO60" s="11">
        <f>Table14[[#This Row],[Base_Stock_GE15]]/Table14[[#This Row],[All_Voters_GE15]]</f>
        <v>0.40006153650281689</v>
      </c>
      <c r="BP60" s="14">
        <v>28960</v>
      </c>
      <c r="BQ60" s="10">
        <v>28374</v>
      </c>
      <c r="BR60" s="44">
        <v>15786</v>
      </c>
      <c r="BS60" s="10">
        <v>4904</v>
      </c>
      <c r="BT60" s="10">
        <v>43907</v>
      </c>
      <c r="BU60" s="10">
        <v>28789</v>
      </c>
      <c r="BV60" s="10">
        <v>16653</v>
      </c>
      <c r="BW60" s="10">
        <f t="shared" si="15"/>
        <v>48811</v>
      </c>
      <c r="BX60" s="10">
        <f t="shared" si="16"/>
        <v>45442</v>
      </c>
      <c r="BY60" s="14">
        <v>95515</v>
      </c>
      <c r="BZ60" s="14">
        <v>0</v>
      </c>
      <c r="CA60" s="14">
        <v>85</v>
      </c>
      <c r="CB60" s="14">
        <v>95430</v>
      </c>
      <c r="CC60" s="14">
        <v>68921</v>
      </c>
      <c r="CD60" s="14">
        <v>17638</v>
      </c>
      <c r="CE60" s="14">
        <v>8635</v>
      </c>
      <c r="CF60" s="14">
        <v>12</v>
      </c>
      <c r="CG60" s="14">
        <v>123</v>
      </c>
      <c r="CH60" s="14">
        <v>82</v>
      </c>
      <c r="CI60" s="14">
        <v>104</v>
      </c>
      <c r="CJ60" s="14">
        <f t="shared" si="17"/>
        <v>321</v>
      </c>
      <c r="CK60" s="14">
        <v>47070</v>
      </c>
      <c r="CL60" s="14">
        <v>48445</v>
      </c>
      <c r="CM60" s="14">
        <v>45472</v>
      </c>
      <c r="CN60" s="11">
        <f t="shared" si="18"/>
        <v>0.47607182117991936</v>
      </c>
      <c r="CO60" s="14">
        <v>50043</v>
      </c>
      <c r="CP60" s="11">
        <f t="shared" si="19"/>
        <v>0.52392817882008058</v>
      </c>
      <c r="CQ60" s="29">
        <v>3937</v>
      </c>
      <c r="CR60" s="29">
        <v>42594</v>
      </c>
      <c r="CS60" s="29">
        <v>30295</v>
      </c>
      <c r="CT60" s="29">
        <v>18139</v>
      </c>
      <c r="CU60" s="45">
        <v>17872</v>
      </c>
      <c r="CV60" s="45">
        <v>5942</v>
      </c>
      <c r="CW60" s="45">
        <v>8040</v>
      </c>
      <c r="CX60" s="45">
        <v>2504</v>
      </c>
      <c r="CY60" s="45">
        <v>1386</v>
      </c>
      <c r="CZ60" s="45">
        <v>108</v>
      </c>
      <c r="DA60" s="45">
        <v>108</v>
      </c>
      <c r="DB60" s="45">
        <v>105</v>
      </c>
      <c r="DC60" s="45">
        <v>97</v>
      </c>
    </row>
    <row r="61" spans="1:107" x14ac:dyDescent="0.35">
      <c r="A61" s="1" t="s">
        <v>392</v>
      </c>
      <c r="B61" s="5" t="s">
        <v>0</v>
      </c>
      <c r="C61" s="3" t="s">
        <v>435</v>
      </c>
      <c r="D61" s="4" t="s">
        <v>436</v>
      </c>
      <c r="E61" s="5">
        <v>3</v>
      </c>
      <c r="F61" s="5">
        <v>42</v>
      </c>
      <c r="G61" s="2">
        <v>0.7087425760492243</v>
      </c>
      <c r="H61" s="2" t="s">
        <v>1276</v>
      </c>
      <c r="I61" s="17" t="s">
        <v>121</v>
      </c>
      <c r="J6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WONG KAH WOH </v>
      </c>
      <c r="K61" s="8">
        <v>14599</v>
      </c>
      <c r="L61" s="8" t="s">
        <v>77</v>
      </c>
      <c r="M61" s="7" t="s">
        <v>438</v>
      </c>
      <c r="N61" s="8">
        <v>47098</v>
      </c>
      <c r="O61" s="8" t="s">
        <v>102</v>
      </c>
      <c r="P61" s="7" t="s">
        <v>437</v>
      </c>
      <c r="Q61" s="8">
        <v>21569</v>
      </c>
      <c r="R61" s="8" t="s">
        <v>370</v>
      </c>
      <c r="S61" s="7" t="s">
        <v>439</v>
      </c>
      <c r="T61" s="10">
        <v>25529</v>
      </c>
      <c r="U61" s="10">
        <v>0</v>
      </c>
      <c r="V61" s="10">
        <v>1</v>
      </c>
      <c r="W61" s="10">
        <v>0</v>
      </c>
      <c r="X61" s="10">
        <v>22089</v>
      </c>
      <c r="Y61" s="12" t="s">
        <v>319</v>
      </c>
      <c r="Z61" s="12" t="s">
        <v>1277</v>
      </c>
      <c r="AA61" s="13" t="s">
        <v>440</v>
      </c>
      <c r="AB61" s="14">
        <v>27384</v>
      </c>
      <c r="AC61" s="15" t="s">
        <v>441</v>
      </c>
      <c r="AD61" s="16">
        <v>33195</v>
      </c>
      <c r="AE61" s="14">
        <v>15613</v>
      </c>
      <c r="AF61" s="14">
        <v>11133</v>
      </c>
      <c r="AG61" s="14">
        <v>42997</v>
      </c>
      <c r="AH61" s="14" t="s">
        <v>339</v>
      </c>
      <c r="AI61" s="15" t="s">
        <v>321</v>
      </c>
      <c r="AJ61" s="14">
        <v>0</v>
      </c>
      <c r="AK61" s="14">
        <v>1</v>
      </c>
      <c r="AL61" s="14">
        <v>0</v>
      </c>
      <c r="AM61" s="51">
        <v>90729</v>
      </c>
      <c r="AN61" s="51">
        <v>35199</v>
      </c>
      <c r="AO61" s="51">
        <v>42106</v>
      </c>
      <c r="AP61" s="51">
        <v>12349</v>
      </c>
      <c r="AQ61" s="51">
        <v>256</v>
      </c>
      <c r="AR61" s="51">
        <v>231</v>
      </c>
      <c r="AS61" s="51">
        <v>559</v>
      </c>
      <c r="AT61" s="51">
        <v>29</v>
      </c>
      <c r="AU61" s="51">
        <v>43933</v>
      </c>
      <c r="AV61" s="51">
        <v>46796</v>
      </c>
      <c r="AW61" s="51">
        <v>32695</v>
      </c>
      <c r="AX61" s="51">
        <v>58034</v>
      </c>
      <c r="AY61" s="14">
        <v>19314.333333333332</v>
      </c>
      <c r="AZ61" s="14">
        <v>121566</v>
      </c>
      <c r="BA61" s="14">
        <v>18</v>
      </c>
      <c r="BB61" s="14">
        <v>4476</v>
      </c>
      <c r="BC61" s="14">
        <v>117072</v>
      </c>
      <c r="BD61" s="14">
        <v>48568</v>
      </c>
      <c r="BE61" s="11">
        <f>Table14[[#This Row],[Melayu_Voters_GE15]]/Table14[[#This Row],[All_Voters_GE15]]</f>
        <v>0.39951960252044155</v>
      </c>
      <c r="BF61" s="14">
        <v>53758</v>
      </c>
      <c r="BG61" s="11">
        <f>Table14[[#This Row],[Chinese_Voters_GE15]]/Table14[[#This Row],[All_Voters_GE15]]</f>
        <v>0.44221246072092524</v>
      </c>
      <c r="BH61" s="14">
        <v>17888</v>
      </c>
      <c r="BI61" s="11">
        <f>Table14[[#This Row],[India_Voters_GE15]]/Table14[[#This Row],[All_Voters_GE15]]</f>
        <v>0.14714640606748597</v>
      </c>
      <c r="BJ61" s="14">
        <v>34</v>
      </c>
      <c r="BK61" s="14">
        <v>373</v>
      </c>
      <c r="BL61" s="14">
        <v>638</v>
      </c>
      <c r="BM61" s="14">
        <v>307</v>
      </c>
      <c r="BN61" s="14">
        <f>Table14[[#This Row],[Lain_Voters_GE15]]+Table14[[#This Row],[Swak_Voters_GE15]]+Table14[[#This Row],[Sabah_Voters_GE15]]+Table14[[#This Row],[OA_Voters_GE15]]</f>
        <v>1352</v>
      </c>
      <c r="BO61" s="11">
        <f>Table14[[#This Row],[Base_Stock_GE15]]/Table14[[#This Row],[All_Voters_GE15]]</f>
        <v>0.18170376585558462</v>
      </c>
      <c r="BP61" s="14">
        <v>15938</v>
      </c>
      <c r="BQ61" s="10">
        <v>37530</v>
      </c>
      <c r="BR61" s="44">
        <v>17068</v>
      </c>
      <c r="BS61" s="10">
        <v>5164</v>
      </c>
      <c r="BT61" s="10">
        <v>52417</v>
      </c>
      <c r="BU61" s="10">
        <v>35828</v>
      </c>
      <c r="BV61" s="10">
        <v>28157</v>
      </c>
      <c r="BW61" s="10">
        <f t="shared" si="15"/>
        <v>57581</v>
      </c>
      <c r="BX61" s="10">
        <f t="shared" si="16"/>
        <v>63985</v>
      </c>
      <c r="BY61" s="14">
        <v>120427</v>
      </c>
      <c r="BZ61" s="14">
        <v>0</v>
      </c>
      <c r="CA61" s="14">
        <v>3934</v>
      </c>
      <c r="CB61" s="14">
        <v>116493</v>
      </c>
      <c r="CC61" s="14">
        <v>49440</v>
      </c>
      <c r="CD61" s="14">
        <v>52084</v>
      </c>
      <c r="CE61" s="14">
        <v>17584</v>
      </c>
      <c r="CF61" s="14">
        <v>44</v>
      </c>
      <c r="CG61" s="14">
        <v>362</v>
      </c>
      <c r="CH61" s="14">
        <v>595</v>
      </c>
      <c r="CI61" s="14">
        <v>318</v>
      </c>
      <c r="CJ61" s="14">
        <f t="shared" si="17"/>
        <v>1319</v>
      </c>
      <c r="CK61" s="14">
        <v>59132</v>
      </c>
      <c r="CL61" s="14">
        <v>61295</v>
      </c>
      <c r="CM61" s="14">
        <v>52381</v>
      </c>
      <c r="CN61" s="11">
        <f t="shared" si="18"/>
        <v>0.43496059853687297</v>
      </c>
      <c r="CO61" s="14">
        <v>68046</v>
      </c>
      <c r="CP61" s="11">
        <f t="shared" si="19"/>
        <v>0.56503940146312703</v>
      </c>
      <c r="CQ61" s="29">
        <v>3925</v>
      </c>
      <c r="CR61" s="29">
        <v>50017</v>
      </c>
      <c r="CS61" s="29">
        <v>36440</v>
      </c>
      <c r="CT61" s="29">
        <v>30220</v>
      </c>
      <c r="CU61" s="45">
        <v>8157</v>
      </c>
      <c r="CV61" s="45">
        <v>2703</v>
      </c>
      <c r="CW61" s="45">
        <v>3917</v>
      </c>
      <c r="CX61" s="45">
        <v>1008</v>
      </c>
      <c r="CY61" s="45">
        <v>529</v>
      </c>
      <c r="CZ61" s="45">
        <v>61</v>
      </c>
      <c r="DA61" s="45">
        <v>61</v>
      </c>
      <c r="DB61" s="45">
        <v>58</v>
      </c>
      <c r="DC61" s="45">
        <v>53</v>
      </c>
    </row>
    <row r="62" spans="1:107" x14ac:dyDescent="0.35">
      <c r="A62" s="1" t="s">
        <v>392</v>
      </c>
      <c r="B62" s="5" t="s">
        <v>0</v>
      </c>
      <c r="C62" s="3" t="s">
        <v>442</v>
      </c>
      <c r="D62" s="4" t="s">
        <v>443</v>
      </c>
      <c r="E62" s="5">
        <v>2</v>
      </c>
      <c r="F62" s="5">
        <v>31</v>
      </c>
      <c r="G62" s="2">
        <v>0.78364266142790673</v>
      </c>
      <c r="H62" s="2" t="s">
        <v>1276</v>
      </c>
      <c r="I62" s="9" t="s">
        <v>13</v>
      </c>
      <c r="J6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KAPTEN AZAHARI </v>
      </c>
      <c r="K62" s="8">
        <v>9885</v>
      </c>
      <c r="L62" s="8" t="s">
        <v>8</v>
      </c>
      <c r="M62" s="7" t="s">
        <v>445</v>
      </c>
      <c r="N62" s="8">
        <v>7062</v>
      </c>
      <c r="O62" s="8" t="s">
        <v>397</v>
      </c>
      <c r="P62" s="7" t="s">
        <v>446</v>
      </c>
      <c r="Q62" s="8">
        <v>12931</v>
      </c>
      <c r="R62" s="8" t="s">
        <v>18</v>
      </c>
      <c r="S62" s="7" t="s">
        <v>444</v>
      </c>
      <c r="T62" s="10">
        <v>3046</v>
      </c>
      <c r="U62" s="10">
        <v>0</v>
      </c>
      <c r="V62" s="10">
        <v>0</v>
      </c>
      <c r="W62" s="10">
        <v>1</v>
      </c>
      <c r="X62" s="10">
        <v>18187</v>
      </c>
      <c r="Y62" s="12" t="s">
        <v>14</v>
      </c>
      <c r="Z62" s="12" t="s">
        <v>1277</v>
      </c>
      <c r="AA62" s="13" t="s">
        <v>447</v>
      </c>
      <c r="AB62" s="14">
        <v>2548</v>
      </c>
      <c r="AC62" s="15" t="s">
        <v>448</v>
      </c>
      <c r="AD62" s="16">
        <v>17222</v>
      </c>
      <c r="AE62" s="14">
        <v>10491</v>
      </c>
      <c r="AF62" s="14">
        <v>6847</v>
      </c>
      <c r="AG62" s="14">
        <v>7943</v>
      </c>
      <c r="AH62" s="14" t="s">
        <v>17</v>
      </c>
      <c r="AI62" s="15" t="s">
        <v>29</v>
      </c>
      <c r="AJ62" s="14">
        <v>1</v>
      </c>
      <c r="AK62" s="14">
        <v>0</v>
      </c>
      <c r="AL62" s="14">
        <v>0</v>
      </c>
      <c r="AM62" s="51">
        <v>30996</v>
      </c>
      <c r="AN62" s="51">
        <v>24097</v>
      </c>
      <c r="AO62" s="51">
        <v>4779</v>
      </c>
      <c r="AP62" s="51">
        <v>2070</v>
      </c>
      <c r="AQ62" s="51">
        <v>31</v>
      </c>
      <c r="AR62" s="51">
        <v>14</v>
      </c>
      <c r="AS62" s="51">
        <v>4</v>
      </c>
      <c r="AT62" s="51">
        <v>1</v>
      </c>
      <c r="AU62" s="51">
        <v>15038</v>
      </c>
      <c r="AV62" s="51">
        <v>15958</v>
      </c>
      <c r="AW62" s="51">
        <v>11850</v>
      </c>
      <c r="AX62" s="51">
        <v>19146</v>
      </c>
      <c r="AY62" s="14">
        <v>11108.666666666666</v>
      </c>
      <c r="AZ62" s="14">
        <v>38686</v>
      </c>
      <c r="BA62" s="14">
        <v>3</v>
      </c>
      <c r="BB62" s="14">
        <v>41</v>
      </c>
      <c r="BC62" s="14">
        <v>38642</v>
      </c>
      <c r="BD62" s="14">
        <v>30275</v>
      </c>
      <c r="BE62" s="11">
        <f>Table14[[#This Row],[Melayu_Voters_GE15]]/Table14[[#This Row],[All_Voters_GE15]]</f>
        <v>0.78258284650778054</v>
      </c>
      <c r="BF62" s="14">
        <v>5708</v>
      </c>
      <c r="BG62" s="11">
        <f>Table14[[#This Row],[Chinese_Voters_GE15]]/Table14[[#This Row],[All_Voters_GE15]]</f>
        <v>0.14754691619707389</v>
      </c>
      <c r="BH62" s="14">
        <v>2622</v>
      </c>
      <c r="BI62" s="11">
        <f>Table14[[#This Row],[India_Voters_GE15]]/Table14[[#This Row],[All_Voters_GE15]]</f>
        <v>6.7776456599286564E-2</v>
      </c>
      <c r="BJ62" s="14">
        <v>0</v>
      </c>
      <c r="BK62" s="14">
        <v>33</v>
      </c>
      <c r="BL62" s="14">
        <v>17</v>
      </c>
      <c r="BM62" s="14">
        <v>31</v>
      </c>
      <c r="BN62" s="14">
        <f>Table14[[#This Row],[Lain_Voters_GE15]]+Table14[[#This Row],[Swak_Voters_GE15]]+Table14[[#This Row],[Sabah_Voters_GE15]]+Table14[[#This Row],[OA_Voters_GE15]]</f>
        <v>81</v>
      </c>
      <c r="BO62" s="11">
        <f>Table14[[#This Row],[Base_Stock_GE15]]/Table14[[#This Row],[All_Voters_GE15]]</f>
        <v>0.47011838908132142</v>
      </c>
      <c r="BP62" s="14">
        <v>14696</v>
      </c>
      <c r="BQ62" s="10">
        <v>9834</v>
      </c>
      <c r="BR62" s="44">
        <v>5810</v>
      </c>
      <c r="BS62" s="10">
        <v>1789</v>
      </c>
      <c r="BT62" s="10">
        <v>16720</v>
      </c>
      <c r="BU62" s="10">
        <v>12154</v>
      </c>
      <c r="BV62" s="10">
        <v>8023</v>
      </c>
      <c r="BW62" s="10">
        <f t="shared" si="15"/>
        <v>18509</v>
      </c>
      <c r="BX62" s="10">
        <f t="shared" si="16"/>
        <v>20177</v>
      </c>
      <c r="BY62" s="14">
        <v>38593</v>
      </c>
      <c r="BZ62" s="14">
        <v>0</v>
      </c>
      <c r="CA62" s="14">
        <v>38</v>
      </c>
      <c r="CB62" s="14">
        <v>38555</v>
      </c>
      <c r="CC62" s="14">
        <v>30571</v>
      </c>
      <c r="CD62" s="14">
        <v>5396</v>
      </c>
      <c r="CE62" s="14">
        <v>2526</v>
      </c>
      <c r="CF62" s="14">
        <v>1</v>
      </c>
      <c r="CG62" s="14">
        <v>44</v>
      </c>
      <c r="CH62" s="14">
        <v>20</v>
      </c>
      <c r="CI62" s="14">
        <v>35</v>
      </c>
      <c r="CJ62" s="14">
        <f t="shared" si="17"/>
        <v>100</v>
      </c>
      <c r="CK62" s="14">
        <v>19117</v>
      </c>
      <c r="CL62" s="14">
        <v>19476</v>
      </c>
      <c r="CM62" s="14">
        <v>17041</v>
      </c>
      <c r="CN62" s="11">
        <f t="shared" si="18"/>
        <v>0.44155675899774571</v>
      </c>
      <c r="CO62" s="14">
        <v>21552</v>
      </c>
      <c r="CP62" s="11">
        <f t="shared" si="19"/>
        <v>0.55844324100225429</v>
      </c>
      <c r="CQ62" s="29">
        <v>1402</v>
      </c>
      <c r="CR62" s="29">
        <v>16093</v>
      </c>
      <c r="CS62" s="29">
        <v>12415</v>
      </c>
      <c r="CT62" s="29">
        <v>8649</v>
      </c>
      <c r="CU62" s="45">
        <v>8005</v>
      </c>
      <c r="CV62" s="45">
        <v>2481</v>
      </c>
      <c r="CW62" s="45">
        <v>3776</v>
      </c>
      <c r="CX62" s="45">
        <v>1162</v>
      </c>
      <c r="CY62" s="45">
        <v>586</v>
      </c>
      <c r="CZ62" s="45">
        <v>61</v>
      </c>
      <c r="DA62" s="45">
        <v>61</v>
      </c>
      <c r="DB62" s="45">
        <v>61</v>
      </c>
      <c r="DC62" s="45">
        <v>61</v>
      </c>
    </row>
    <row r="63" spans="1:107" x14ac:dyDescent="0.35">
      <c r="A63" s="1" t="s">
        <v>392</v>
      </c>
      <c r="B63" s="5" t="s">
        <v>0</v>
      </c>
      <c r="C63" s="3" t="s">
        <v>449</v>
      </c>
      <c r="D63" s="4" t="s">
        <v>450</v>
      </c>
      <c r="E63" s="5">
        <v>2</v>
      </c>
      <c r="F63" s="5">
        <v>38</v>
      </c>
      <c r="G63" s="2">
        <v>0.72829615304924378</v>
      </c>
      <c r="H63" s="2" t="s">
        <v>1276</v>
      </c>
      <c r="I63" s="17" t="s">
        <v>121</v>
      </c>
      <c r="J6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S. KESAVAN </v>
      </c>
      <c r="K63" s="8">
        <v>19791</v>
      </c>
      <c r="L63" s="8" t="s">
        <v>137</v>
      </c>
      <c r="M63" s="7" t="s">
        <v>452</v>
      </c>
      <c r="N63" s="8">
        <v>21637</v>
      </c>
      <c r="O63" s="8" t="s">
        <v>23</v>
      </c>
      <c r="P63" s="7" t="s">
        <v>451</v>
      </c>
      <c r="Q63" s="8">
        <v>8190</v>
      </c>
      <c r="R63" s="8" t="s">
        <v>317</v>
      </c>
      <c r="S63" s="7" t="s">
        <v>453</v>
      </c>
      <c r="T63" s="10">
        <v>1846</v>
      </c>
      <c r="U63" s="10">
        <v>0</v>
      </c>
      <c r="V63" s="10">
        <v>1</v>
      </c>
      <c r="W63" s="10">
        <v>0</v>
      </c>
      <c r="X63" s="10">
        <v>24070</v>
      </c>
      <c r="Y63" s="12" t="s">
        <v>26</v>
      </c>
      <c r="Z63" s="12" t="s">
        <v>1277</v>
      </c>
      <c r="AA63" s="13" t="s">
        <v>454</v>
      </c>
      <c r="AB63" s="14">
        <v>5607</v>
      </c>
      <c r="AC63" s="15" t="s">
        <v>455</v>
      </c>
      <c r="AD63" s="16">
        <v>26188</v>
      </c>
      <c r="AE63" s="14">
        <v>15210</v>
      </c>
      <c r="AF63" s="14">
        <v>5194</v>
      </c>
      <c r="AG63" s="14">
        <v>20817</v>
      </c>
      <c r="AH63" s="14" t="s">
        <v>456</v>
      </c>
      <c r="AI63" s="15" t="s">
        <v>29</v>
      </c>
      <c r="AJ63" s="14">
        <v>0</v>
      </c>
      <c r="AK63" s="14">
        <v>0</v>
      </c>
      <c r="AL63" s="14">
        <v>0</v>
      </c>
      <c r="AM63" s="51">
        <v>55002</v>
      </c>
      <c r="AN63" s="51">
        <v>18852</v>
      </c>
      <c r="AO63" s="51">
        <v>19952</v>
      </c>
      <c r="AP63" s="51">
        <v>11526</v>
      </c>
      <c r="AQ63" s="51">
        <v>51</v>
      </c>
      <c r="AR63" s="51">
        <v>36</v>
      </c>
      <c r="AS63" s="51">
        <v>21</v>
      </c>
      <c r="AT63" s="51">
        <v>4564</v>
      </c>
      <c r="AU63" s="51">
        <v>27271</v>
      </c>
      <c r="AV63" s="51">
        <v>27731</v>
      </c>
      <c r="AW63" s="51">
        <v>19264</v>
      </c>
      <c r="AX63" s="51">
        <v>35738</v>
      </c>
      <c r="AY63" s="14">
        <v>16215.666666666666</v>
      </c>
      <c r="AZ63" s="14">
        <v>72395</v>
      </c>
      <c r="BA63" s="14">
        <v>2</v>
      </c>
      <c r="BB63" s="14">
        <v>292</v>
      </c>
      <c r="BC63" s="14">
        <v>72101</v>
      </c>
      <c r="BD63" s="14">
        <v>24855</v>
      </c>
      <c r="BE63" s="11">
        <f>Table14[[#This Row],[Melayu_Voters_GE15]]/Table14[[#This Row],[All_Voters_GE15]]</f>
        <v>0.34332481524967196</v>
      </c>
      <c r="BF63" s="14">
        <v>24976</v>
      </c>
      <c r="BG63" s="11">
        <f>Table14[[#This Row],[Chinese_Voters_GE15]]/Table14[[#This Row],[All_Voters_GE15]]</f>
        <v>0.34499620139512399</v>
      </c>
      <c r="BH63" s="14">
        <v>15388</v>
      </c>
      <c r="BI63" s="11">
        <f>Table14[[#This Row],[India_Voters_GE15]]/Table14[[#This Row],[All_Voters_GE15]]</f>
        <v>0.21255611575385042</v>
      </c>
      <c r="BJ63" s="14">
        <v>7010</v>
      </c>
      <c r="BK63" s="14">
        <v>53</v>
      </c>
      <c r="BL63" s="14">
        <v>39</v>
      </c>
      <c r="BM63" s="14">
        <v>74</v>
      </c>
      <c r="BN63" s="14">
        <f>Table14[[#This Row],[Lain_Voters_GE15]]+Table14[[#This Row],[Swak_Voters_GE15]]+Table14[[#This Row],[Sabah_Voters_GE15]]+Table14[[#This Row],[OA_Voters_GE15]]</f>
        <v>7176</v>
      </c>
      <c r="BO63" s="11">
        <f>Table14[[#This Row],[Base_Stock_GE15]]/Table14[[#This Row],[All_Voters_GE15]]</f>
        <v>0.33248152496719385</v>
      </c>
      <c r="BP63" s="14">
        <v>17411</v>
      </c>
      <c r="BQ63" s="10">
        <v>20664</v>
      </c>
      <c r="BR63" s="44">
        <v>11475</v>
      </c>
      <c r="BS63" s="10">
        <v>3645</v>
      </c>
      <c r="BT63" s="10">
        <v>30391</v>
      </c>
      <c r="BU63" s="10">
        <v>24033</v>
      </c>
      <c r="BV63" s="10">
        <v>14326</v>
      </c>
      <c r="BW63" s="10">
        <f t="shared" si="15"/>
        <v>34036</v>
      </c>
      <c r="BX63" s="10">
        <f t="shared" si="16"/>
        <v>38359</v>
      </c>
      <c r="BY63" s="14">
        <v>72638</v>
      </c>
      <c r="BZ63" s="14">
        <v>0</v>
      </c>
      <c r="CA63" s="14">
        <v>259</v>
      </c>
      <c r="CB63" s="14">
        <v>72379</v>
      </c>
      <c r="CC63" s="14">
        <v>25308</v>
      </c>
      <c r="CD63" s="14">
        <v>24205</v>
      </c>
      <c r="CE63" s="14">
        <v>15474</v>
      </c>
      <c r="CF63" s="14">
        <v>7466</v>
      </c>
      <c r="CG63" s="14">
        <v>58</v>
      </c>
      <c r="CH63" s="14">
        <v>39</v>
      </c>
      <c r="CI63" s="14">
        <v>88</v>
      </c>
      <c r="CJ63" s="14">
        <f t="shared" si="17"/>
        <v>7651</v>
      </c>
      <c r="CK63" s="14">
        <v>36147</v>
      </c>
      <c r="CL63" s="14">
        <v>36491</v>
      </c>
      <c r="CM63" s="14">
        <v>31712</v>
      </c>
      <c r="CN63" s="11">
        <f t="shared" si="18"/>
        <v>0.43657589691346127</v>
      </c>
      <c r="CO63" s="14">
        <v>40926</v>
      </c>
      <c r="CP63" s="11">
        <f t="shared" si="19"/>
        <v>0.56342410308653867</v>
      </c>
      <c r="CQ63" s="29">
        <v>2755</v>
      </c>
      <c r="CR63" s="29">
        <v>29583</v>
      </c>
      <c r="CS63" s="29">
        <v>24364</v>
      </c>
      <c r="CT63" s="29">
        <v>15705</v>
      </c>
      <c r="CU63" s="45">
        <v>10933</v>
      </c>
      <c r="CV63" s="45">
        <v>3535</v>
      </c>
      <c r="CW63" s="45">
        <v>4432</v>
      </c>
      <c r="CX63" s="45">
        <v>1733</v>
      </c>
      <c r="CY63" s="45">
        <v>1233</v>
      </c>
      <c r="CZ63" s="45">
        <v>71</v>
      </c>
      <c r="DA63" s="45">
        <v>71</v>
      </c>
      <c r="DB63" s="45">
        <v>70</v>
      </c>
      <c r="DC63" s="45">
        <v>68</v>
      </c>
    </row>
    <row r="64" spans="1:107" x14ac:dyDescent="0.35">
      <c r="A64" s="1" t="s">
        <v>392</v>
      </c>
      <c r="B64" s="5" t="s">
        <v>0</v>
      </c>
      <c r="C64" s="3" t="s">
        <v>457</v>
      </c>
      <c r="D64" s="4" t="s">
        <v>458</v>
      </c>
      <c r="E64" s="5">
        <v>2</v>
      </c>
      <c r="F64" s="5">
        <v>37</v>
      </c>
      <c r="G64" s="2">
        <v>0.78788973455075428</v>
      </c>
      <c r="H64" s="2" t="s">
        <v>1276</v>
      </c>
      <c r="I64" s="17" t="s">
        <v>121</v>
      </c>
      <c r="J6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ANWAR IBRAHIM </v>
      </c>
      <c r="K64" s="8">
        <v>28140</v>
      </c>
      <c r="L64" s="8" t="s">
        <v>8</v>
      </c>
      <c r="M64" s="7" t="s">
        <v>460</v>
      </c>
      <c r="N64" s="8">
        <v>49625</v>
      </c>
      <c r="O64" s="8" t="s">
        <v>23</v>
      </c>
      <c r="P64" s="7" t="s">
        <v>459</v>
      </c>
      <c r="Q64" s="8">
        <v>45889</v>
      </c>
      <c r="R64" s="8" t="s">
        <v>25</v>
      </c>
      <c r="S64" s="7" t="s">
        <v>461</v>
      </c>
      <c r="T64" s="10">
        <v>3736</v>
      </c>
      <c r="U64" s="10">
        <v>0</v>
      </c>
      <c r="V64" s="10">
        <v>1</v>
      </c>
      <c r="W64" s="10">
        <v>0</v>
      </c>
      <c r="X64" s="10">
        <v>51435</v>
      </c>
      <c r="Y64" s="12" t="s">
        <v>43</v>
      </c>
      <c r="Z64" s="12" t="s">
        <v>1277</v>
      </c>
      <c r="AA64" s="13" t="s">
        <v>462</v>
      </c>
      <c r="AB64" s="14">
        <v>5320</v>
      </c>
      <c r="AC64" s="15" t="s">
        <v>463</v>
      </c>
      <c r="AD64" s="16">
        <v>41789</v>
      </c>
      <c r="AE64" s="14">
        <v>33341</v>
      </c>
      <c r="AF64" s="14">
        <v>14948</v>
      </c>
      <c r="AG64" s="14">
        <v>38661</v>
      </c>
      <c r="AH64" s="14" t="s">
        <v>17</v>
      </c>
      <c r="AI64" s="15" t="s">
        <v>18</v>
      </c>
      <c r="AJ64" s="14">
        <v>0</v>
      </c>
      <c r="AK64" s="14">
        <v>1</v>
      </c>
      <c r="AL64" s="14">
        <v>0</v>
      </c>
      <c r="AM64" s="51">
        <v>107763</v>
      </c>
      <c r="AN64" s="51">
        <v>71465</v>
      </c>
      <c r="AO64" s="51">
        <v>21794</v>
      </c>
      <c r="AP64" s="51">
        <v>12519</v>
      </c>
      <c r="AQ64" s="51">
        <v>271</v>
      </c>
      <c r="AR64" s="51">
        <v>211</v>
      </c>
      <c r="AS64" s="51">
        <v>335</v>
      </c>
      <c r="AT64" s="51">
        <v>1168</v>
      </c>
      <c r="AU64" s="51">
        <v>52752</v>
      </c>
      <c r="AV64" s="51">
        <v>55011</v>
      </c>
      <c r="AW64" s="51">
        <v>44416</v>
      </c>
      <c r="AX64" s="51">
        <v>63347</v>
      </c>
      <c r="AY64" s="14">
        <v>34458.666666666664</v>
      </c>
      <c r="AZ64" s="14">
        <v>160558</v>
      </c>
      <c r="BA64" s="14">
        <v>22</v>
      </c>
      <c r="BB64" s="14">
        <v>4734</v>
      </c>
      <c r="BC64" s="14">
        <v>155802</v>
      </c>
      <c r="BD64" s="14">
        <v>104255</v>
      </c>
      <c r="BE64" s="11">
        <f>Table14[[#This Row],[Melayu_Voters_GE15]]/Table14[[#This Row],[All_Voters_GE15]]</f>
        <v>0.64932921436490243</v>
      </c>
      <c r="BF64" s="14">
        <v>32906</v>
      </c>
      <c r="BG64" s="11">
        <f>Table14[[#This Row],[Chinese_Voters_GE15]]/Table14[[#This Row],[All_Voters_GE15]]</f>
        <v>0.20494774474021848</v>
      </c>
      <c r="BH64" s="14">
        <v>20435</v>
      </c>
      <c r="BI64" s="11">
        <f>Table14[[#This Row],[India_Voters_GE15]]/Table14[[#This Row],[All_Voters_GE15]]</f>
        <v>0.12727487885997582</v>
      </c>
      <c r="BJ64" s="14">
        <v>1585</v>
      </c>
      <c r="BK64" s="14">
        <v>459</v>
      </c>
      <c r="BL64" s="14">
        <v>586</v>
      </c>
      <c r="BM64" s="14">
        <v>332</v>
      </c>
      <c r="BN64" s="14">
        <f>Table14[[#This Row],[Lain_Voters_GE15]]+Table14[[#This Row],[Swak_Voters_GE15]]+Table14[[#This Row],[Sabah_Voters_GE15]]+Table14[[#This Row],[OA_Voters_GE15]]</f>
        <v>2962</v>
      </c>
      <c r="BO64" s="11">
        <f>Table14[[#This Row],[Base_Stock_GE15]]/Table14[[#This Row],[All_Voters_GE15]]</f>
        <v>0.3203515240598413</v>
      </c>
      <c r="BP64" s="14">
        <v>38003</v>
      </c>
      <c r="BQ64" s="10">
        <v>56480</v>
      </c>
      <c r="BR64" s="44">
        <v>30754</v>
      </c>
      <c r="BS64" s="10">
        <v>10043</v>
      </c>
      <c r="BT64" s="10">
        <v>77202</v>
      </c>
      <c r="BU64" s="10">
        <v>47954</v>
      </c>
      <c r="BV64" s="10">
        <v>25359</v>
      </c>
      <c r="BW64" s="10">
        <f t="shared" si="15"/>
        <v>87245</v>
      </c>
      <c r="BX64" s="10">
        <f t="shared" si="16"/>
        <v>73313</v>
      </c>
      <c r="BY64" s="14">
        <v>168053</v>
      </c>
      <c r="BZ64" s="14">
        <v>0</v>
      </c>
      <c r="CA64" s="14">
        <v>4389</v>
      </c>
      <c r="CB64" s="14">
        <v>163664</v>
      </c>
      <c r="CC64" s="14">
        <v>109998</v>
      </c>
      <c r="CD64" s="14">
        <v>33887</v>
      </c>
      <c r="CE64" s="14">
        <v>21131</v>
      </c>
      <c r="CF64" s="14">
        <v>1635</v>
      </c>
      <c r="CG64" s="14">
        <v>459</v>
      </c>
      <c r="CH64" s="14">
        <v>573</v>
      </c>
      <c r="CI64" s="14">
        <v>370</v>
      </c>
      <c r="CJ64" s="14">
        <f t="shared" si="17"/>
        <v>3037</v>
      </c>
      <c r="CK64" s="14">
        <v>82969</v>
      </c>
      <c r="CL64" s="14">
        <v>85084</v>
      </c>
      <c r="CM64" s="14">
        <v>85337</v>
      </c>
      <c r="CN64" s="11">
        <f t="shared" si="18"/>
        <v>0.50779813511213723</v>
      </c>
      <c r="CO64" s="14">
        <v>82716</v>
      </c>
      <c r="CP64" s="11">
        <f t="shared" si="19"/>
        <v>0.49220186488786277</v>
      </c>
      <c r="CQ64" s="29">
        <v>8499</v>
      </c>
      <c r="CR64" s="29">
        <v>77800</v>
      </c>
      <c r="CS64" s="29">
        <v>51122</v>
      </c>
      <c r="CT64" s="29">
        <v>28920</v>
      </c>
      <c r="CU64" s="45">
        <v>15101</v>
      </c>
      <c r="CV64" s="45">
        <v>5040</v>
      </c>
      <c r="CW64" s="45">
        <v>7392</v>
      </c>
      <c r="CX64" s="45">
        <v>1802</v>
      </c>
      <c r="CY64" s="45">
        <v>867</v>
      </c>
      <c r="CZ64" s="45">
        <v>91</v>
      </c>
      <c r="DA64" s="45">
        <v>91</v>
      </c>
      <c r="DB64" s="45">
        <v>87</v>
      </c>
      <c r="DC64" s="45">
        <v>82</v>
      </c>
    </row>
    <row r="65" spans="1:107" x14ac:dyDescent="0.35">
      <c r="A65" s="1" t="s">
        <v>392</v>
      </c>
      <c r="B65" s="5" t="s">
        <v>0</v>
      </c>
      <c r="C65" s="3" t="s">
        <v>464</v>
      </c>
      <c r="D65" s="4" t="s">
        <v>465</v>
      </c>
      <c r="E65" s="5">
        <v>3</v>
      </c>
      <c r="F65" s="5">
        <v>35</v>
      </c>
      <c r="G65" s="2">
        <v>0.68409517845961176</v>
      </c>
      <c r="H65" s="2" t="s">
        <v>1276</v>
      </c>
      <c r="I65" s="17" t="s">
        <v>121</v>
      </c>
      <c r="J6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HOWARD LEE CHUAN HOW </v>
      </c>
      <c r="K65" s="8">
        <v>8570</v>
      </c>
      <c r="L65" s="8" t="s">
        <v>77</v>
      </c>
      <c r="M65" s="7" t="s">
        <v>467</v>
      </c>
      <c r="N65" s="8">
        <v>57549</v>
      </c>
      <c r="O65" s="8" t="s">
        <v>102</v>
      </c>
      <c r="P65" s="7" t="s">
        <v>466</v>
      </c>
      <c r="Q65" s="8">
        <v>13661</v>
      </c>
      <c r="R65" s="8" t="s">
        <v>25</v>
      </c>
      <c r="S65" s="7" t="s">
        <v>468</v>
      </c>
      <c r="T65" s="10">
        <v>43888</v>
      </c>
      <c r="U65" s="10">
        <v>0</v>
      </c>
      <c r="V65" s="10">
        <v>1</v>
      </c>
      <c r="W65" s="10">
        <v>0</v>
      </c>
      <c r="X65" s="10">
        <v>12768</v>
      </c>
      <c r="Y65" s="12" t="s">
        <v>319</v>
      </c>
      <c r="Z65" s="12" t="s">
        <v>1277</v>
      </c>
      <c r="AA65" s="13" t="s">
        <v>469</v>
      </c>
      <c r="AB65" s="14">
        <v>42797</v>
      </c>
      <c r="AC65" s="15" t="s">
        <v>470</v>
      </c>
      <c r="AD65" s="16">
        <v>14550</v>
      </c>
      <c r="AE65" s="14">
        <v>13722</v>
      </c>
      <c r="AF65" s="14"/>
      <c r="AG65" s="14">
        <v>56519</v>
      </c>
      <c r="AH65" s="14" t="s">
        <v>82</v>
      </c>
      <c r="AI65" s="15" t="s">
        <v>321</v>
      </c>
      <c r="AJ65" s="14">
        <v>0</v>
      </c>
      <c r="AK65" s="14">
        <v>1</v>
      </c>
      <c r="AL65" s="14">
        <v>0</v>
      </c>
      <c r="AM65" s="51">
        <v>91486</v>
      </c>
      <c r="AN65" s="51">
        <v>19209</v>
      </c>
      <c r="AO65" s="51">
        <v>65882</v>
      </c>
      <c r="AP65" s="51">
        <v>5955</v>
      </c>
      <c r="AQ65" s="51">
        <v>264</v>
      </c>
      <c r="AR65" s="51">
        <v>80</v>
      </c>
      <c r="AS65" s="51">
        <v>78</v>
      </c>
      <c r="AT65" s="51">
        <v>18</v>
      </c>
      <c r="AU65" s="51">
        <v>44286</v>
      </c>
      <c r="AV65" s="51">
        <v>47200</v>
      </c>
      <c r="AW65" s="51">
        <v>25084</v>
      </c>
      <c r="AX65" s="51">
        <v>66402</v>
      </c>
      <c r="AY65" s="14">
        <v>14743.333333333334</v>
      </c>
      <c r="AZ65" s="14">
        <v>118178</v>
      </c>
      <c r="BA65" s="14">
        <v>37</v>
      </c>
      <c r="BB65" s="14">
        <v>2550</v>
      </c>
      <c r="BC65" s="14">
        <v>115591</v>
      </c>
      <c r="BD65" s="14">
        <v>27808</v>
      </c>
      <c r="BE65" s="11">
        <f>Table14[[#This Row],[Melayu_Voters_GE15]]/Table14[[#This Row],[All_Voters_GE15]]</f>
        <v>0.2353060637343668</v>
      </c>
      <c r="BF65" s="14">
        <v>80543</v>
      </c>
      <c r="BG65" s="11">
        <f>Table14[[#This Row],[Chinese_Voters_GE15]]/Table14[[#This Row],[All_Voters_GE15]]</f>
        <v>0.68153971128297997</v>
      </c>
      <c r="BH65" s="14">
        <v>9058</v>
      </c>
      <c r="BI65" s="11">
        <f>Table14[[#This Row],[India_Voters_GE15]]/Table14[[#This Row],[All_Voters_GE15]]</f>
        <v>7.6647091675269508E-2</v>
      </c>
      <c r="BJ65" s="14">
        <v>39</v>
      </c>
      <c r="BK65" s="14">
        <v>181</v>
      </c>
      <c r="BL65" s="14">
        <v>141</v>
      </c>
      <c r="BM65" s="14">
        <v>408</v>
      </c>
      <c r="BN65" s="14">
        <f>Table14[[#This Row],[Lain_Voters_GE15]]+Table14[[#This Row],[Swak_Voters_GE15]]+Table14[[#This Row],[Sabah_Voters_GE15]]+Table14[[#This Row],[OA_Voters_GE15]]</f>
        <v>769</v>
      </c>
      <c r="BO65" s="11">
        <f>Table14[[#This Row],[Base_Stock_GE15]]/Table14[[#This Row],[All_Voters_GE15]]</f>
        <v>0.10804041361336289</v>
      </c>
      <c r="BP65" s="14">
        <v>8550</v>
      </c>
      <c r="BQ65" s="10">
        <v>32503</v>
      </c>
      <c r="BR65" s="44">
        <v>12781</v>
      </c>
      <c r="BS65" s="10">
        <v>4025</v>
      </c>
      <c r="BT65" s="10">
        <v>39874</v>
      </c>
      <c r="BU65" s="10">
        <v>38835</v>
      </c>
      <c r="BV65" s="10">
        <v>35444</v>
      </c>
      <c r="BW65" s="10">
        <f t="shared" si="15"/>
        <v>43899</v>
      </c>
      <c r="BX65" s="10">
        <f t="shared" si="16"/>
        <v>74279</v>
      </c>
      <c r="BY65" s="14">
        <v>116818</v>
      </c>
      <c r="BZ65" s="14">
        <v>0</v>
      </c>
      <c r="CA65" s="14">
        <v>2770</v>
      </c>
      <c r="CB65" s="14">
        <v>114048</v>
      </c>
      <c r="CC65" s="14">
        <v>29050</v>
      </c>
      <c r="CD65" s="14">
        <v>77925</v>
      </c>
      <c r="CE65" s="14">
        <v>9039</v>
      </c>
      <c r="CF65" s="14">
        <v>38</v>
      </c>
      <c r="CG65" s="14">
        <v>200</v>
      </c>
      <c r="CH65" s="14">
        <v>163</v>
      </c>
      <c r="CI65" s="14">
        <v>403</v>
      </c>
      <c r="CJ65" s="14">
        <f t="shared" si="17"/>
        <v>804</v>
      </c>
      <c r="CK65" s="14">
        <v>57453</v>
      </c>
      <c r="CL65" s="14">
        <v>59365</v>
      </c>
      <c r="CM65" s="14">
        <v>39542</v>
      </c>
      <c r="CN65" s="11">
        <f t="shared" si="18"/>
        <v>0.33849235563012547</v>
      </c>
      <c r="CO65" s="14">
        <v>77276</v>
      </c>
      <c r="CP65" s="11">
        <f t="shared" si="19"/>
        <v>0.66150764436987453</v>
      </c>
      <c r="CQ65" s="29">
        <v>3183</v>
      </c>
      <c r="CR65" s="29">
        <v>37541</v>
      </c>
      <c r="CS65" s="29">
        <v>38631</v>
      </c>
      <c r="CT65" s="29">
        <v>37601</v>
      </c>
      <c r="CU65" s="45">
        <v>10719</v>
      </c>
      <c r="CV65" s="45">
        <v>3803</v>
      </c>
      <c r="CW65" s="45">
        <v>4640</v>
      </c>
      <c r="CX65" s="45">
        <v>1513</v>
      </c>
      <c r="CY65" s="45">
        <v>763</v>
      </c>
      <c r="CZ65" s="45">
        <v>57</v>
      </c>
      <c r="DA65" s="45">
        <v>56</v>
      </c>
      <c r="DB65" s="45">
        <v>55</v>
      </c>
      <c r="DC65" s="45">
        <v>52</v>
      </c>
    </row>
    <row r="66" spans="1:107" x14ac:dyDescent="0.35">
      <c r="A66" s="1" t="s">
        <v>392</v>
      </c>
      <c r="B66" s="5" t="s">
        <v>0</v>
      </c>
      <c r="C66" s="3" t="s">
        <v>471</v>
      </c>
      <c r="D66" s="4" t="s">
        <v>472</v>
      </c>
      <c r="E66" s="5">
        <v>3</v>
      </c>
      <c r="F66" s="5">
        <v>30</v>
      </c>
      <c r="G66" s="2">
        <v>0.69177699862194075</v>
      </c>
      <c r="H66" s="2" t="s">
        <v>1276</v>
      </c>
      <c r="I66" s="17" t="s">
        <v>121</v>
      </c>
      <c r="J6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M. KULA </v>
      </c>
      <c r="K66" s="8">
        <v>7248</v>
      </c>
      <c r="L66" s="8" t="s">
        <v>77</v>
      </c>
      <c r="M66" s="7" t="s">
        <v>474</v>
      </c>
      <c r="N66" s="8">
        <v>63915</v>
      </c>
      <c r="O66" s="8" t="s">
        <v>102</v>
      </c>
      <c r="P66" s="7" t="s">
        <v>473</v>
      </c>
      <c r="Q66" s="8">
        <v>6815</v>
      </c>
      <c r="R66" s="8" t="s">
        <v>370</v>
      </c>
      <c r="S66" s="7" t="s">
        <v>475</v>
      </c>
      <c r="T66" s="10">
        <v>56667</v>
      </c>
      <c r="U66" s="10">
        <v>0</v>
      </c>
      <c r="V66" s="10">
        <v>1</v>
      </c>
      <c r="W66" s="10">
        <v>0</v>
      </c>
      <c r="X66" s="10">
        <v>6817</v>
      </c>
      <c r="Y66" s="12" t="s">
        <v>319</v>
      </c>
      <c r="Z66" s="12" t="s">
        <v>1277</v>
      </c>
      <c r="AA66" s="13" t="s">
        <v>476</v>
      </c>
      <c r="AB66" s="14">
        <v>45724</v>
      </c>
      <c r="AC66" s="15" t="s">
        <v>477</v>
      </c>
      <c r="AD66" s="16">
        <v>11239</v>
      </c>
      <c r="AE66" s="14">
        <v>9889</v>
      </c>
      <c r="AF66" s="14"/>
      <c r="AG66" s="14">
        <v>55613</v>
      </c>
      <c r="AH66" s="14" t="s">
        <v>82</v>
      </c>
      <c r="AI66" s="15" t="s">
        <v>321</v>
      </c>
      <c r="AJ66" s="14">
        <v>0</v>
      </c>
      <c r="AK66" s="14">
        <v>1</v>
      </c>
      <c r="AL66" s="14">
        <v>0</v>
      </c>
      <c r="AM66" s="51">
        <v>84874</v>
      </c>
      <c r="AN66" s="51">
        <v>10040</v>
      </c>
      <c r="AO66" s="51">
        <v>53604</v>
      </c>
      <c r="AP66" s="51">
        <v>20882</v>
      </c>
      <c r="AQ66" s="51">
        <v>245</v>
      </c>
      <c r="AR66" s="51">
        <v>36</v>
      </c>
      <c r="AS66" s="51">
        <v>44</v>
      </c>
      <c r="AT66" s="51">
        <v>23</v>
      </c>
      <c r="AU66" s="51">
        <v>40997</v>
      </c>
      <c r="AV66" s="51">
        <v>43877</v>
      </c>
      <c r="AW66" s="51">
        <v>23938</v>
      </c>
      <c r="AX66" s="51">
        <v>60936</v>
      </c>
      <c r="AY66" s="14">
        <v>14437.666666666666</v>
      </c>
      <c r="AZ66" s="14">
        <v>114654</v>
      </c>
      <c r="BA66" s="14">
        <v>14</v>
      </c>
      <c r="BB66" s="14">
        <v>858</v>
      </c>
      <c r="BC66" s="14">
        <v>113782</v>
      </c>
      <c r="BD66" s="14">
        <v>15530</v>
      </c>
      <c r="BE66" s="11">
        <f>Table14[[#This Row],[Melayu_Voters_GE15]]/Table14[[#This Row],[All_Voters_GE15]]</f>
        <v>0.13545100912310082</v>
      </c>
      <c r="BF66" s="14">
        <v>67470</v>
      </c>
      <c r="BG66" s="11">
        <f>Table14[[#This Row],[Chinese_Voters_GE15]]/Table14[[#This Row],[All_Voters_GE15]]</f>
        <v>0.58846616777434713</v>
      </c>
      <c r="BH66" s="14">
        <v>31130</v>
      </c>
      <c r="BI66" s="11">
        <f>Table14[[#This Row],[India_Voters_GE15]]/Table14[[#This Row],[All_Voters_GE15]]</f>
        <v>0.27151255080503078</v>
      </c>
      <c r="BJ66" s="14">
        <v>50</v>
      </c>
      <c r="BK66" s="14">
        <v>99</v>
      </c>
      <c r="BL66" s="14">
        <v>109</v>
      </c>
      <c r="BM66" s="14">
        <v>266</v>
      </c>
      <c r="BN66" s="14">
        <f>Table14[[#This Row],[Lain_Voters_GE15]]+Table14[[#This Row],[Swak_Voters_GE15]]+Table14[[#This Row],[Sabah_Voters_GE15]]+Table14[[#This Row],[OA_Voters_GE15]]</f>
        <v>524</v>
      </c>
      <c r="BO66" s="11">
        <f>Table14[[#This Row],[Base_Stock_GE15]]/Table14[[#This Row],[All_Voters_GE15]]</f>
        <v>5.9457149336263893E-2</v>
      </c>
      <c r="BP66" s="14">
        <v>5114</v>
      </c>
      <c r="BQ66" s="10">
        <v>34681</v>
      </c>
      <c r="BR66" s="44">
        <v>14457</v>
      </c>
      <c r="BS66" s="10">
        <v>4464</v>
      </c>
      <c r="BT66" s="10">
        <v>42054</v>
      </c>
      <c r="BU66" s="10">
        <v>37899</v>
      </c>
      <c r="BV66" s="10">
        <v>30237</v>
      </c>
      <c r="BW66" s="10">
        <f t="shared" ref="BW66:BW83" si="20">BS66+BT66</f>
        <v>46518</v>
      </c>
      <c r="BX66" s="10">
        <f t="shared" ref="BX66:BX83" si="21">BU66+BV66</f>
        <v>68136</v>
      </c>
      <c r="BY66" s="14">
        <v>113835</v>
      </c>
      <c r="BZ66" s="14">
        <v>0</v>
      </c>
      <c r="CA66" s="14">
        <v>759</v>
      </c>
      <c r="CB66" s="14">
        <v>113076</v>
      </c>
      <c r="CC66" s="14">
        <v>16101</v>
      </c>
      <c r="CD66" s="14">
        <v>66033</v>
      </c>
      <c r="CE66" s="14">
        <v>31167</v>
      </c>
      <c r="CF66" s="14">
        <v>49</v>
      </c>
      <c r="CG66" s="14">
        <v>103</v>
      </c>
      <c r="CH66" s="14">
        <v>107</v>
      </c>
      <c r="CI66" s="14">
        <v>275</v>
      </c>
      <c r="CJ66" s="14">
        <f t="shared" ref="CJ66:CJ83" si="22">SUM(CF66:CI66)</f>
        <v>534</v>
      </c>
      <c r="CK66" s="14">
        <v>55587</v>
      </c>
      <c r="CL66" s="14">
        <v>58248</v>
      </c>
      <c r="CM66" s="14">
        <v>42527</v>
      </c>
      <c r="CN66" s="11">
        <f t="shared" ref="CN66:CN83" si="23">CM66/$BY66</f>
        <v>0.37358457416436069</v>
      </c>
      <c r="CO66" s="14">
        <v>71308</v>
      </c>
      <c r="CP66" s="11">
        <f t="shared" ref="CP66:CP83" si="24">CO66/$BY66</f>
        <v>0.62641542583563925</v>
      </c>
      <c r="CQ66" s="29">
        <v>3390</v>
      </c>
      <c r="CR66" s="29">
        <v>40143</v>
      </c>
      <c r="CS66" s="29">
        <v>37584</v>
      </c>
      <c r="CT66" s="29">
        <v>32701</v>
      </c>
      <c r="CU66" s="45">
        <v>6532</v>
      </c>
      <c r="CV66" s="45">
        <v>2089</v>
      </c>
      <c r="CW66" s="45">
        <v>2968</v>
      </c>
      <c r="CX66" s="45">
        <v>938</v>
      </c>
      <c r="CY66" s="45">
        <v>537</v>
      </c>
      <c r="CZ66" s="45">
        <v>40</v>
      </c>
      <c r="DA66" s="45">
        <v>40</v>
      </c>
      <c r="DB66" s="45">
        <v>40</v>
      </c>
      <c r="DC66" s="45">
        <v>38</v>
      </c>
    </row>
    <row r="67" spans="1:107" x14ac:dyDescent="0.35">
      <c r="A67" s="1" t="s">
        <v>392</v>
      </c>
      <c r="B67" s="5" t="s">
        <v>0</v>
      </c>
      <c r="C67" s="3" t="s">
        <v>478</v>
      </c>
      <c r="D67" s="4" t="s">
        <v>479</v>
      </c>
      <c r="E67" s="5">
        <v>3</v>
      </c>
      <c r="F67" s="5">
        <v>34</v>
      </c>
      <c r="G67" s="2">
        <v>0.67864803031386289</v>
      </c>
      <c r="H67" s="2" t="s">
        <v>1276</v>
      </c>
      <c r="I67" s="17" t="s">
        <v>121</v>
      </c>
      <c r="J6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V. SIVAKUMAR </v>
      </c>
      <c r="K67" s="8">
        <v>6793</v>
      </c>
      <c r="L67" s="8" t="s">
        <v>77</v>
      </c>
      <c r="M67" s="7" t="s">
        <v>481</v>
      </c>
      <c r="N67" s="8">
        <v>60999</v>
      </c>
      <c r="O67" s="8" t="s">
        <v>102</v>
      </c>
      <c r="P67" s="7" t="s">
        <v>480</v>
      </c>
      <c r="Q67" s="8">
        <v>7163</v>
      </c>
      <c r="R67" s="8" t="s">
        <v>370</v>
      </c>
      <c r="S67" s="7" t="s">
        <v>482</v>
      </c>
      <c r="T67" s="10">
        <v>53836</v>
      </c>
      <c r="U67" s="10">
        <v>0</v>
      </c>
      <c r="V67" s="10">
        <v>1</v>
      </c>
      <c r="W67" s="10">
        <v>0</v>
      </c>
      <c r="X67" s="10">
        <v>8704</v>
      </c>
      <c r="Y67" s="12" t="s">
        <v>319</v>
      </c>
      <c r="Z67" s="12" t="s">
        <v>1277</v>
      </c>
      <c r="AA67" s="13" t="s">
        <v>483</v>
      </c>
      <c r="AB67" s="14">
        <v>43868</v>
      </c>
      <c r="AC67" s="15" t="s">
        <v>470</v>
      </c>
      <c r="AD67" s="16">
        <v>13030</v>
      </c>
      <c r="AE67" s="14">
        <v>8982</v>
      </c>
      <c r="AF67" s="14"/>
      <c r="AG67" s="14">
        <v>52850</v>
      </c>
      <c r="AH67" s="14" t="s">
        <v>82</v>
      </c>
      <c r="AI67" s="15" t="s">
        <v>321</v>
      </c>
      <c r="AJ67" s="14">
        <v>0</v>
      </c>
      <c r="AK67" s="14">
        <v>1</v>
      </c>
      <c r="AL67" s="14">
        <v>0</v>
      </c>
      <c r="AM67" s="51">
        <v>81399</v>
      </c>
      <c r="AN67" s="51">
        <v>8096</v>
      </c>
      <c r="AO67" s="51">
        <v>61053</v>
      </c>
      <c r="AP67" s="51">
        <v>11988</v>
      </c>
      <c r="AQ67" s="51">
        <v>150</v>
      </c>
      <c r="AR67" s="51">
        <v>36</v>
      </c>
      <c r="AS67" s="51">
        <v>37</v>
      </c>
      <c r="AT67" s="51">
        <v>39</v>
      </c>
      <c r="AU67" s="51">
        <v>40959</v>
      </c>
      <c r="AV67" s="51">
        <v>40440</v>
      </c>
      <c r="AW67" s="51">
        <v>23581</v>
      </c>
      <c r="AX67" s="51">
        <v>57818</v>
      </c>
      <c r="AY67" s="14">
        <v>13193.666666666666</v>
      </c>
      <c r="AZ67" s="14">
        <v>111896</v>
      </c>
      <c r="BA67" s="14">
        <v>7</v>
      </c>
      <c r="BB67" s="14">
        <v>581</v>
      </c>
      <c r="BC67" s="14">
        <v>111308</v>
      </c>
      <c r="BD67" s="14">
        <v>14425</v>
      </c>
      <c r="BE67" s="11">
        <f>Table14[[#This Row],[Melayu_Voters_GE15]]/Table14[[#This Row],[All_Voters_GE15]]</f>
        <v>0.1289143490383928</v>
      </c>
      <c r="BF67" s="14">
        <v>77063</v>
      </c>
      <c r="BG67" s="11">
        <f>Table14[[#This Row],[Chinese_Voters_GE15]]/Table14[[#This Row],[All_Voters_GE15]]</f>
        <v>0.68870200900836487</v>
      </c>
      <c r="BH67" s="14">
        <v>19984</v>
      </c>
      <c r="BI67" s="11">
        <f>Table14[[#This Row],[India_Voters_GE15]]/Table14[[#This Row],[All_Voters_GE15]]</f>
        <v>0.17859440909415886</v>
      </c>
      <c r="BJ67" s="14">
        <v>110</v>
      </c>
      <c r="BK67" s="14">
        <v>91</v>
      </c>
      <c r="BL67" s="14">
        <v>60</v>
      </c>
      <c r="BM67" s="14">
        <v>163</v>
      </c>
      <c r="BN67" s="14">
        <f>Table14[[#This Row],[Lain_Voters_GE15]]+Table14[[#This Row],[Swak_Voters_GE15]]+Table14[[#This Row],[Sabah_Voters_GE15]]+Table14[[#This Row],[OA_Voters_GE15]]</f>
        <v>424</v>
      </c>
      <c r="BO67" s="11">
        <f>Table14[[#This Row],[Base_Stock_GE15]]/Table14[[#This Row],[All_Voters_GE15]]</f>
        <v>7.7786516050618426E-2</v>
      </c>
      <c r="BP67" s="14">
        <v>794</v>
      </c>
      <c r="BQ67" s="10">
        <v>35333</v>
      </c>
      <c r="BR67" s="44">
        <v>15912</v>
      </c>
      <c r="BS67" s="10">
        <v>5059</v>
      </c>
      <c r="BT67" s="10">
        <v>41967</v>
      </c>
      <c r="BU67" s="10">
        <v>38992</v>
      </c>
      <c r="BV67" s="10">
        <v>25878</v>
      </c>
      <c r="BW67" s="10">
        <f t="shared" si="20"/>
        <v>47026</v>
      </c>
      <c r="BX67" s="10">
        <f t="shared" si="21"/>
        <v>64870</v>
      </c>
      <c r="BY67" s="14">
        <v>112413</v>
      </c>
      <c r="BZ67" s="14">
        <v>0</v>
      </c>
      <c r="CA67" s="14">
        <v>702</v>
      </c>
      <c r="CB67" s="14">
        <v>111711</v>
      </c>
      <c r="CC67" s="14">
        <v>15808</v>
      </c>
      <c r="CD67" s="14">
        <v>75557</v>
      </c>
      <c r="CE67" s="14">
        <v>20559</v>
      </c>
      <c r="CF67" s="14">
        <v>118</v>
      </c>
      <c r="CG67" s="14">
        <v>110</v>
      </c>
      <c r="CH67" s="14">
        <v>83</v>
      </c>
      <c r="CI67" s="14">
        <v>178</v>
      </c>
      <c r="CJ67" s="14">
        <f t="shared" si="22"/>
        <v>489</v>
      </c>
      <c r="CK67" s="14">
        <v>56574</v>
      </c>
      <c r="CL67" s="14">
        <v>55839</v>
      </c>
      <c r="CM67" s="14">
        <v>44238</v>
      </c>
      <c r="CN67" s="11">
        <f t="shared" si="23"/>
        <v>0.39353099730458219</v>
      </c>
      <c r="CO67" s="14">
        <v>68175</v>
      </c>
      <c r="CP67" s="11">
        <f t="shared" si="24"/>
        <v>0.60646900269541781</v>
      </c>
      <c r="CQ67" s="29">
        <v>4102</v>
      </c>
      <c r="CR67" s="29">
        <v>40978</v>
      </c>
      <c r="CS67" s="29">
        <v>38549</v>
      </c>
      <c r="CT67" s="29">
        <v>28490</v>
      </c>
      <c r="CU67" s="45">
        <v>3922</v>
      </c>
      <c r="CV67" s="45">
        <v>1711</v>
      </c>
      <c r="CW67" s="45">
        <v>1765</v>
      </c>
      <c r="CX67" s="45">
        <v>306</v>
      </c>
      <c r="CY67" s="45">
        <v>140</v>
      </c>
      <c r="CZ67" s="45">
        <v>42</v>
      </c>
      <c r="DA67" s="45">
        <v>42</v>
      </c>
      <c r="DB67" s="45">
        <v>34</v>
      </c>
      <c r="DC67" s="45">
        <v>20</v>
      </c>
    </row>
    <row r="68" spans="1:107" x14ac:dyDescent="0.35">
      <c r="A68" s="1" t="s">
        <v>392</v>
      </c>
      <c r="B68" s="5" t="s">
        <v>0</v>
      </c>
      <c r="C68" s="3" t="s">
        <v>484</v>
      </c>
      <c r="D68" s="4" t="s">
        <v>485</v>
      </c>
      <c r="E68" s="5">
        <v>2</v>
      </c>
      <c r="F68" s="5">
        <v>26</v>
      </c>
      <c r="G68" s="2">
        <v>0.77113972544429077</v>
      </c>
      <c r="H68" s="2" t="s">
        <v>1276</v>
      </c>
      <c r="I68" s="9" t="s">
        <v>13</v>
      </c>
      <c r="J6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ISKANDAR DZULKARNAIN </v>
      </c>
      <c r="K68" s="8">
        <v>10814</v>
      </c>
      <c r="L68" s="8" t="s">
        <v>8</v>
      </c>
      <c r="M68" s="7" t="s">
        <v>487</v>
      </c>
      <c r="N68" s="8">
        <v>10356</v>
      </c>
      <c r="O68" s="8" t="s">
        <v>10</v>
      </c>
      <c r="P68" s="7" t="s">
        <v>488</v>
      </c>
      <c r="Q68" s="8">
        <v>14380</v>
      </c>
      <c r="R68" s="8" t="s">
        <v>25</v>
      </c>
      <c r="S68" s="7" t="s">
        <v>486</v>
      </c>
      <c r="T68" s="10">
        <v>3566</v>
      </c>
      <c r="U68" s="10">
        <v>0</v>
      </c>
      <c r="V68" s="10">
        <v>0</v>
      </c>
      <c r="W68" s="10">
        <v>1</v>
      </c>
      <c r="X68" s="10">
        <v>17048</v>
      </c>
      <c r="Y68" s="12" t="s">
        <v>14</v>
      </c>
      <c r="Z68" s="12" t="s">
        <v>1277</v>
      </c>
      <c r="AA68" s="13" t="s">
        <v>489</v>
      </c>
      <c r="AB68" s="14">
        <v>731</v>
      </c>
      <c r="AC68" s="15" t="s">
        <v>490</v>
      </c>
      <c r="AD68" s="16">
        <v>21352</v>
      </c>
      <c r="AE68" s="14">
        <v>12102</v>
      </c>
      <c r="AF68" s="14">
        <v>6583</v>
      </c>
      <c r="AG68" s="14">
        <v>11371</v>
      </c>
      <c r="AH68" s="14" t="s">
        <v>17</v>
      </c>
      <c r="AI68" s="15" t="s">
        <v>10</v>
      </c>
      <c r="AJ68" s="14">
        <v>1</v>
      </c>
      <c r="AK68" s="14">
        <v>0</v>
      </c>
      <c r="AL68" s="14">
        <v>0</v>
      </c>
      <c r="AM68" s="51">
        <v>36954</v>
      </c>
      <c r="AN68" s="51">
        <v>26008</v>
      </c>
      <c r="AO68" s="51">
        <v>7983</v>
      </c>
      <c r="AP68" s="51">
        <v>2469</v>
      </c>
      <c r="AQ68" s="51">
        <v>65</v>
      </c>
      <c r="AR68" s="51">
        <v>30</v>
      </c>
      <c r="AS68" s="51">
        <v>12</v>
      </c>
      <c r="AT68" s="51">
        <v>387</v>
      </c>
      <c r="AU68" s="51">
        <v>17918</v>
      </c>
      <c r="AV68" s="51">
        <v>19036</v>
      </c>
      <c r="AW68" s="51">
        <v>14256</v>
      </c>
      <c r="AX68" s="51">
        <v>22698</v>
      </c>
      <c r="AY68" s="14">
        <v>12351.666666666666</v>
      </c>
      <c r="AZ68" s="14">
        <v>46985</v>
      </c>
      <c r="BA68" s="14">
        <v>6</v>
      </c>
      <c r="BB68" s="14">
        <v>332</v>
      </c>
      <c r="BC68" s="14">
        <v>46647</v>
      </c>
      <c r="BD68" s="14">
        <v>33218</v>
      </c>
      <c r="BE68" s="11">
        <f>Table14[[#This Row],[Melayu_Voters_GE15]]/Table14[[#This Row],[All_Voters_GE15]]</f>
        <v>0.70699159306161541</v>
      </c>
      <c r="BF68" s="14">
        <v>9859</v>
      </c>
      <c r="BG68" s="11">
        <f>Table14[[#This Row],[Chinese_Voters_GE15]]/Table14[[#This Row],[All_Voters_GE15]]</f>
        <v>0.20983292540172396</v>
      </c>
      <c r="BH68" s="14">
        <v>3107</v>
      </c>
      <c r="BI68" s="11">
        <f>Table14[[#This Row],[India_Voters_GE15]]/Table14[[#This Row],[All_Voters_GE15]]</f>
        <v>6.6127487496009371E-2</v>
      </c>
      <c r="BJ68" s="14">
        <v>555</v>
      </c>
      <c r="BK68" s="14">
        <v>45</v>
      </c>
      <c r="BL68" s="14">
        <v>23</v>
      </c>
      <c r="BM68" s="14">
        <v>178</v>
      </c>
      <c r="BN68" s="14">
        <f>Table14[[#This Row],[Lain_Voters_GE15]]+Table14[[#This Row],[Swak_Voters_GE15]]+Table14[[#This Row],[Sabah_Voters_GE15]]+Table14[[#This Row],[OA_Voters_GE15]]</f>
        <v>801</v>
      </c>
      <c r="BO68" s="11">
        <f>Table14[[#This Row],[Base_Stock_GE15]]/Table14[[#This Row],[All_Voters_GE15]]</f>
        <v>0.362839204001277</v>
      </c>
      <c r="BP68" s="14">
        <v>12270</v>
      </c>
      <c r="BQ68" s="10">
        <v>12372</v>
      </c>
      <c r="BR68" s="44">
        <v>7256</v>
      </c>
      <c r="BS68" s="10">
        <v>2279</v>
      </c>
      <c r="BT68" s="10">
        <v>20389</v>
      </c>
      <c r="BU68" s="10">
        <v>14621</v>
      </c>
      <c r="BV68" s="10">
        <v>9696</v>
      </c>
      <c r="BW68" s="10">
        <f t="shared" si="20"/>
        <v>22668</v>
      </c>
      <c r="BX68" s="10">
        <f t="shared" si="21"/>
        <v>24317</v>
      </c>
      <c r="BY68" s="14">
        <v>46773</v>
      </c>
      <c r="BZ68" s="14">
        <v>0</v>
      </c>
      <c r="CA68" s="14">
        <v>285</v>
      </c>
      <c r="CB68" s="14">
        <v>46488</v>
      </c>
      <c r="CC68" s="14">
        <v>33581</v>
      </c>
      <c r="CD68" s="14">
        <v>9350</v>
      </c>
      <c r="CE68" s="14">
        <v>2980</v>
      </c>
      <c r="CF68" s="14">
        <v>594</v>
      </c>
      <c r="CG68" s="14">
        <v>48</v>
      </c>
      <c r="CH68" s="14">
        <v>26</v>
      </c>
      <c r="CI68" s="14">
        <v>194</v>
      </c>
      <c r="CJ68" s="14">
        <f t="shared" si="22"/>
        <v>862</v>
      </c>
      <c r="CK68" s="14">
        <v>23025</v>
      </c>
      <c r="CL68" s="14">
        <v>23748</v>
      </c>
      <c r="CM68" s="14">
        <v>21089</v>
      </c>
      <c r="CN68" s="11">
        <f t="shared" si="23"/>
        <v>0.4508797810702756</v>
      </c>
      <c r="CO68" s="14">
        <v>25684</v>
      </c>
      <c r="CP68" s="11">
        <f t="shared" si="24"/>
        <v>0.5491202189297244</v>
      </c>
      <c r="CQ68" s="29">
        <v>1778</v>
      </c>
      <c r="CR68" s="29">
        <v>19794</v>
      </c>
      <c r="CS68" s="29">
        <v>14884</v>
      </c>
      <c r="CT68" s="29">
        <v>10226</v>
      </c>
      <c r="CU68" s="45">
        <v>11047</v>
      </c>
      <c r="CV68" s="45">
        <v>3711</v>
      </c>
      <c r="CW68" s="45">
        <v>4858</v>
      </c>
      <c r="CX68" s="45">
        <v>1685</v>
      </c>
      <c r="CY68" s="45">
        <v>793</v>
      </c>
      <c r="CZ68" s="45">
        <v>71</v>
      </c>
      <c r="DA68" s="45">
        <v>71</v>
      </c>
      <c r="DB68" s="45">
        <v>70</v>
      </c>
      <c r="DC68" s="45">
        <v>68</v>
      </c>
    </row>
    <row r="69" spans="1:107" x14ac:dyDescent="0.35">
      <c r="A69" s="1" t="s">
        <v>392</v>
      </c>
      <c r="B69" s="5" t="s">
        <v>0</v>
      </c>
      <c r="C69" s="3" t="s">
        <v>491</v>
      </c>
      <c r="D69" s="4" t="s">
        <v>492</v>
      </c>
      <c r="E69" s="5">
        <v>3</v>
      </c>
      <c r="F69" s="5">
        <v>46</v>
      </c>
      <c r="G69" s="2">
        <v>0.67884229877412261</v>
      </c>
      <c r="H69" s="2" t="s">
        <v>1276</v>
      </c>
      <c r="I69" s="17" t="s">
        <v>121</v>
      </c>
      <c r="J6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NGEH KOO HAM </v>
      </c>
      <c r="K69" s="8">
        <v>12724</v>
      </c>
      <c r="L69" s="8" t="s">
        <v>77</v>
      </c>
      <c r="M69" s="7" t="s">
        <v>494</v>
      </c>
      <c r="N69" s="8">
        <v>46710</v>
      </c>
      <c r="O69" s="8" t="s">
        <v>102</v>
      </c>
      <c r="P69" s="7" t="s">
        <v>493</v>
      </c>
      <c r="Q69" s="8">
        <v>12739</v>
      </c>
      <c r="R69" s="8" t="s">
        <v>370</v>
      </c>
      <c r="S69" s="7" t="s">
        <v>495</v>
      </c>
      <c r="T69" s="10">
        <v>33971</v>
      </c>
      <c r="U69" s="10">
        <v>0</v>
      </c>
      <c r="V69" s="10">
        <v>1</v>
      </c>
      <c r="W69" s="10">
        <v>0</v>
      </c>
      <c r="X69" s="10">
        <v>17900</v>
      </c>
      <c r="Y69" s="12" t="s">
        <v>319</v>
      </c>
      <c r="Z69" s="12" t="s">
        <v>1277</v>
      </c>
      <c r="AA69" s="13" t="s">
        <v>496</v>
      </c>
      <c r="AB69" s="14">
        <v>27954</v>
      </c>
      <c r="AC69" s="15" t="s">
        <v>497</v>
      </c>
      <c r="AD69" s="16">
        <v>24152</v>
      </c>
      <c r="AE69" s="14">
        <v>13277</v>
      </c>
      <c r="AF69" s="14">
        <v>5759</v>
      </c>
      <c r="AG69" s="14">
        <v>41231</v>
      </c>
      <c r="AH69" s="14" t="s">
        <v>339</v>
      </c>
      <c r="AI69" s="15" t="s">
        <v>321</v>
      </c>
      <c r="AJ69" s="14">
        <v>0</v>
      </c>
      <c r="AK69" s="14">
        <v>1</v>
      </c>
      <c r="AL69" s="14">
        <v>0</v>
      </c>
      <c r="AM69" s="51">
        <v>79794</v>
      </c>
      <c r="AN69" s="51">
        <v>21007</v>
      </c>
      <c r="AO69" s="51">
        <v>47280</v>
      </c>
      <c r="AP69" s="51">
        <v>11253</v>
      </c>
      <c r="AQ69" s="51">
        <v>115</v>
      </c>
      <c r="AR69" s="51">
        <v>78</v>
      </c>
      <c r="AS69" s="51">
        <v>54</v>
      </c>
      <c r="AT69" s="51">
        <v>7</v>
      </c>
      <c r="AU69" s="51">
        <v>39960</v>
      </c>
      <c r="AV69" s="51">
        <v>39834</v>
      </c>
      <c r="AW69" s="51">
        <v>26947</v>
      </c>
      <c r="AX69" s="51">
        <v>52847</v>
      </c>
      <c r="AY69" s="14">
        <v>14720.666666666666</v>
      </c>
      <c r="AZ69" s="14">
        <v>108249</v>
      </c>
      <c r="BA69" s="14">
        <v>12</v>
      </c>
      <c r="BB69" s="14">
        <v>178</v>
      </c>
      <c r="BC69" s="14">
        <v>108059</v>
      </c>
      <c r="BD69" s="14">
        <v>29556</v>
      </c>
      <c r="BE69" s="11">
        <f>Table14[[#This Row],[Melayu_Voters_GE15]]/Table14[[#This Row],[All_Voters_GE15]]</f>
        <v>0.27303716431560571</v>
      </c>
      <c r="BF69" s="14">
        <v>61459</v>
      </c>
      <c r="BG69" s="11">
        <f>Table14[[#This Row],[Chinese_Voters_GE15]]/Table14[[#This Row],[All_Voters_GE15]]</f>
        <v>0.56775582222468568</v>
      </c>
      <c r="BH69" s="14">
        <v>16522</v>
      </c>
      <c r="BI69" s="11">
        <f>Table14[[#This Row],[India_Voters_GE15]]/Table14[[#This Row],[All_Voters_GE15]]</f>
        <v>0.15262958549270664</v>
      </c>
      <c r="BJ69" s="14">
        <v>13</v>
      </c>
      <c r="BK69" s="14">
        <v>284</v>
      </c>
      <c r="BL69" s="14">
        <v>212</v>
      </c>
      <c r="BM69" s="14">
        <v>203</v>
      </c>
      <c r="BN69" s="14">
        <f>Table14[[#This Row],[Lain_Voters_GE15]]+Table14[[#This Row],[Swak_Voters_GE15]]+Table14[[#This Row],[Sabah_Voters_GE15]]+Table14[[#This Row],[OA_Voters_GE15]]</f>
        <v>712</v>
      </c>
      <c r="BO69" s="11">
        <f>Table14[[#This Row],[Base_Stock_GE15]]/Table14[[#This Row],[All_Voters_GE15]]</f>
        <v>0.16535949523783131</v>
      </c>
      <c r="BP69" s="14">
        <v>9200</v>
      </c>
      <c r="BQ69" s="10">
        <v>33791</v>
      </c>
      <c r="BR69" s="44">
        <v>16501</v>
      </c>
      <c r="BS69" s="10">
        <v>5398</v>
      </c>
      <c r="BT69" s="10">
        <v>45031</v>
      </c>
      <c r="BU69" s="10">
        <v>34972</v>
      </c>
      <c r="BV69" s="10">
        <v>22848</v>
      </c>
      <c r="BW69" s="10">
        <f t="shared" si="20"/>
        <v>50429</v>
      </c>
      <c r="BX69" s="10">
        <f t="shared" si="21"/>
        <v>57820</v>
      </c>
      <c r="BY69" s="14">
        <v>108636</v>
      </c>
      <c r="BZ69" s="14">
        <v>0</v>
      </c>
      <c r="CA69" s="14">
        <v>185</v>
      </c>
      <c r="CB69" s="14">
        <v>108451</v>
      </c>
      <c r="CC69" s="14">
        <v>30393</v>
      </c>
      <c r="CD69" s="14">
        <v>60662</v>
      </c>
      <c r="CE69" s="14">
        <v>16795</v>
      </c>
      <c r="CF69" s="14">
        <v>11</v>
      </c>
      <c r="CG69" s="14">
        <v>333</v>
      </c>
      <c r="CH69" s="14">
        <v>226</v>
      </c>
      <c r="CI69" s="14">
        <v>216</v>
      </c>
      <c r="CJ69" s="14">
        <f t="shared" si="22"/>
        <v>786</v>
      </c>
      <c r="CK69" s="14">
        <v>54666</v>
      </c>
      <c r="CL69" s="14">
        <v>53970</v>
      </c>
      <c r="CM69" s="14">
        <v>46999</v>
      </c>
      <c r="CN69" s="11">
        <f t="shared" si="23"/>
        <v>0.4326282263706322</v>
      </c>
      <c r="CO69" s="14">
        <v>61637</v>
      </c>
      <c r="CP69" s="11">
        <f t="shared" si="24"/>
        <v>0.56737177362936775</v>
      </c>
      <c r="CQ69" s="29">
        <v>4314</v>
      </c>
      <c r="CR69" s="29">
        <v>43602</v>
      </c>
      <c r="CS69" s="29">
        <v>35478</v>
      </c>
      <c r="CT69" s="29">
        <v>24880</v>
      </c>
      <c r="CU69" s="45">
        <v>8627</v>
      </c>
      <c r="CV69" s="45">
        <v>2889</v>
      </c>
      <c r="CW69" s="45">
        <v>3729</v>
      </c>
      <c r="CX69" s="45">
        <v>1317</v>
      </c>
      <c r="CY69" s="45">
        <v>692</v>
      </c>
      <c r="CZ69" s="45">
        <v>73</v>
      </c>
      <c r="DA69" s="45">
        <v>73</v>
      </c>
      <c r="DB69" s="45">
        <v>72</v>
      </c>
      <c r="DC69" s="45">
        <v>63</v>
      </c>
    </row>
    <row r="70" spans="1:107" x14ac:dyDescent="0.35">
      <c r="A70" s="1" t="s">
        <v>392</v>
      </c>
      <c r="B70" s="5" t="s">
        <v>0</v>
      </c>
      <c r="C70" s="3" t="s">
        <v>498</v>
      </c>
      <c r="D70" s="4" t="s">
        <v>499</v>
      </c>
      <c r="E70" s="5">
        <v>2</v>
      </c>
      <c r="F70" s="5">
        <v>37</v>
      </c>
      <c r="G70" s="2">
        <v>0.7966816237086507</v>
      </c>
      <c r="H70" s="2" t="s">
        <v>1276</v>
      </c>
      <c r="I70" s="9" t="s">
        <v>13</v>
      </c>
      <c r="J7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ISMI TAIB </v>
      </c>
      <c r="K70" s="8">
        <v>15026</v>
      </c>
      <c r="L70" s="8" t="s">
        <v>8</v>
      </c>
      <c r="M70" s="7" t="s">
        <v>501</v>
      </c>
      <c r="N70" s="8">
        <v>5063</v>
      </c>
      <c r="O70" s="8" t="s">
        <v>10</v>
      </c>
      <c r="P70" s="7" t="s">
        <v>502</v>
      </c>
      <c r="Q70" s="8">
        <v>17181</v>
      </c>
      <c r="R70" s="8" t="s">
        <v>12</v>
      </c>
      <c r="S70" s="7" t="s">
        <v>500</v>
      </c>
      <c r="T70" s="10">
        <v>2155</v>
      </c>
      <c r="U70" s="10">
        <v>0</v>
      </c>
      <c r="V70" s="10">
        <v>0</v>
      </c>
      <c r="W70" s="10">
        <v>1</v>
      </c>
      <c r="X70" s="10">
        <v>24697</v>
      </c>
      <c r="Y70" s="12" t="s">
        <v>14</v>
      </c>
      <c r="Z70" s="12" t="s">
        <v>1277</v>
      </c>
      <c r="AA70" s="13" t="s">
        <v>503</v>
      </c>
      <c r="AB70" s="14">
        <v>6320</v>
      </c>
      <c r="AC70" s="15" t="s">
        <v>504</v>
      </c>
      <c r="AD70" s="16">
        <v>24262</v>
      </c>
      <c r="AE70" s="14">
        <v>14035</v>
      </c>
      <c r="AF70" s="14">
        <v>7715</v>
      </c>
      <c r="AG70" s="14">
        <v>7240</v>
      </c>
      <c r="AH70" s="14" t="s">
        <v>17</v>
      </c>
      <c r="AI70" s="15" t="s">
        <v>10</v>
      </c>
      <c r="AJ70" s="14">
        <v>1</v>
      </c>
      <c r="AK70" s="14">
        <v>0</v>
      </c>
      <c r="AL70" s="14">
        <v>0</v>
      </c>
      <c r="AM70" s="51">
        <v>35910</v>
      </c>
      <c r="AN70" s="51">
        <v>33399</v>
      </c>
      <c r="AO70" s="51">
        <v>805</v>
      </c>
      <c r="AP70" s="51">
        <v>923</v>
      </c>
      <c r="AQ70" s="51">
        <v>64</v>
      </c>
      <c r="AR70" s="51">
        <v>28</v>
      </c>
      <c r="AS70" s="51">
        <v>23</v>
      </c>
      <c r="AT70" s="51">
        <v>668</v>
      </c>
      <c r="AU70" s="51">
        <v>17592</v>
      </c>
      <c r="AV70" s="51">
        <v>18318</v>
      </c>
      <c r="AW70" s="51">
        <v>13913</v>
      </c>
      <c r="AX70" s="51">
        <v>21997</v>
      </c>
      <c r="AY70" s="14">
        <v>14229</v>
      </c>
      <c r="AZ70" s="14">
        <v>47915</v>
      </c>
      <c r="BA70" s="14">
        <v>1</v>
      </c>
      <c r="BB70" s="14">
        <v>475</v>
      </c>
      <c r="BC70" s="14">
        <v>47439</v>
      </c>
      <c r="BD70" s="14">
        <v>44458</v>
      </c>
      <c r="BE70" s="11">
        <f>Table14[[#This Row],[Melayu_Voters_GE15]]/Table14[[#This Row],[All_Voters_GE15]]</f>
        <v>0.92785140352707918</v>
      </c>
      <c r="BF70" s="14">
        <v>942</v>
      </c>
      <c r="BG70" s="11">
        <f>Table14[[#This Row],[Chinese_Voters_GE15]]/Table14[[#This Row],[All_Voters_GE15]]</f>
        <v>1.9659814254408849E-2</v>
      </c>
      <c r="BH70" s="14">
        <v>1229</v>
      </c>
      <c r="BI70" s="11">
        <f>Table14[[#This Row],[India_Voters_GE15]]/Table14[[#This Row],[All_Voters_GE15]]</f>
        <v>2.5649587811749974E-2</v>
      </c>
      <c r="BJ70" s="14">
        <v>1069</v>
      </c>
      <c r="BK70" s="14">
        <v>58</v>
      </c>
      <c r="BL70" s="14">
        <v>55</v>
      </c>
      <c r="BM70" s="14">
        <v>104</v>
      </c>
      <c r="BN70" s="14">
        <f>Table14[[#This Row],[Lain_Voters_GE15]]+Table14[[#This Row],[Swak_Voters_GE15]]+Table14[[#This Row],[Sabah_Voters_GE15]]+Table14[[#This Row],[OA_Voters_GE15]]</f>
        <v>1286</v>
      </c>
      <c r="BO70" s="11">
        <f>Table14[[#This Row],[Base_Stock_GE15]]/Table14[[#This Row],[All_Voters_GE15]]</f>
        <v>0.51543358029844522</v>
      </c>
      <c r="BP70" s="14">
        <v>18574</v>
      </c>
      <c r="BQ70" s="10">
        <v>14265</v>
      </c>
      <c r="BR70" s="44">
        <v>8207</v>
      </c>
      <c r="BS70" s="10">
        <v>2594</v>
      </c>
      <c r="BT70" s="10">
        <v>21940</v>
      </c>
      <c r="BU70" s="10">
        <v>14953</v>
      </c>
      <c r="BV70" s="10">
        <v>8428</v>
      </c>
      <c r="BW70" s="10">
        <f t="shared" si="20"/>
        <v>24534</v>
      </c>
      <c r="BX70" s="10">
        <f t="shared" si="21"/>
        <v>23381</v>
      </c>
      <c r="BY70" s="14">
        <v>48885</v>
      </c>
      <c r="BZ70" s="14">
        <v>0</v>
      </c>
      <c r="CA70" s="14">
        <v>427</v>
      </c>
      <c r="CB70" s="14">
        <v>48458</v>
      </c>
      <c r="CC70" s="14">
        <v>45490</v>
      </c>
      <c r="CD70" s="14">
        <v>884</v>
      </c>
      <c r="CE70" s="14">
        <v>1145</v>
      </c>
      <c r="CF70" s="14">
        <v>1119</v>
      </c>
      <c r="CG70" s="14">
        <v>70</v>
      </c>
      <c r="CH70" s="14">
        <v>62</v>
      </c>
      <c r="CI70" s="14">
        <v>115</v>
      </c>
      <c r="CJ70" s="14">
        <f t="shared" si="22"/>
        <v>1366</v>
      </c>
      <c r="CK70" s="14">
        <v>24199</v>
      </c>
      <c r="CL70" s="14">
        <v>24686</v>
      </c>
      <c r="CM70" s="14">
        <v>23669</v>
      </c>
      <c r="CN70" s="11">
        <f t="shared" si="23"/>
        <v>0.48417715045514986</v>
      </c>
      <c r="CO70" s="14">
        <v>25216</v>
      </c>
      <c r="CP70" s="11">
        <f t="shared" si="24"/>
        <v>0.51582284954485014</v>
      </c>
      <c r="CQ70" s="29">
        <v>2263</v>
      </c>
      <c r="CR70" s="29">
        <v>21727</v>
      </c>
      <c r="CS70" s="29">
        <v>15269</v>
      </c>
      <c r="CT70" s="29">
        <v>9283</v>
      </c>
      <c r="CU70" s="45">
        <v>11861</v>
      </c>
      <c r="CV70" s="45">
        <v>3915</v>
      </c>
      <c r="CW70" s="45">
        <v>5134</v>
      </c>
      <c r="CX70" s="45">
        <v>1889</v>
      </c>
      <c r="CY70" s="45">
        <v>923</v>
      </c>
      <c r="CZ70" s="45">
        <v>79</v>
      </c>
      <c r="DA70" s="45">
        <v>79</v>
      </c>
      <c r="DB70" s="45">
        <v>78</v>
      </c>
      <c r="DC70" s="45">
        <v>75</v>
      </c>
    </row>
    <row r="71" spans="1:107" x14ac:dyDescent="0.35">
      <c r="A71" s="1" t="s">
        <v>392</v>
      </c>
      <c r="B71" s="5" t="s">
        <v>0</v>
      </c>
      <c r="C71" s="3" t="s">
        <v>505</v>
      </c>
      <c r="D71" s="4" t="s">
        <v>506</v>
      </c>
      <c r="E71" s="5">
        <v>3</v>
      </c>
      <c r="F71" s="5">
        <v>51</v>
      </c>
      <c r="G71" s="2">
        <v>0.67189133868778783</v>
      </c>
      <c r="H71" s="2" t="s">
        <v>1276</v>
      </c>
      <c r="I71" s="17" t="s">
        <v>121</v>
      </c>
      <c r="J7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CHONG ZHEMIN </v>
      </c>
      <c r="K71" s="8">
        <v>16137</v>
      </c>
      <c r="L71" s="8" t="s">
        <v>77</v>
      </c>
      <c r="M71" s="7" t="s">
        <v>508</v>
      </c>
      <c r="N71" s="8">
        <v>30467</v>
      </c>
      <c r="O71" s="8" t="s">
        <v>102</v>
      </c>
      <c r="P71" s="7" t="s">
        <v>507</v>
      </c>
      <c r="Q71" s="8">
        <v>12127</v>
      </c>
      <c r="R71" s="8" t="s">
        <v>370</v>
      </c>
      <c r="S71" s="7" t="s">
        <v>509</v>
      </c>
      <c r="T71" s="10">
        <v>14330</v>
      </c>
      <c r="U71" s="10">
        <v>0</v>
      </c>
      <c r="V71" s="10">
        <v>1</v>
      </c>
      <c r="W71" s="10">
        <v>0</v>
      </c>
      <c r="X71" s="10">
        <v>18914</v>
      </c>
      <c r="Y71" s="12" t="s">
        <v>319</v>
      </c>
      <c r="Z71" s="12" t="s">
        <v>1277</v>
      </c>
      <c r="AA71" s="13" t="s">
        <v>510</v>
      </c>
      <c r="AB71" s="14">
        <v>11801</v>
      </c>
      <c r="AC71" s="15" t="s">
        <v>511</v>
      </c>
      <c r="AD71" s="16">
        <v>28148</v>
      </c>
      <c r="AE71" s="14">
        <v>18415</v>
      </c>
      <c r="AF71" s="14">
        <v>3864</v>
      </c>
      <c r="AG71" s="14">
        <v>30216</v>
      </c>
      <c r="AH71" s="14" t="s">
        <v>82</v>
      </c>
      <c r="AI71" s="15" t="s">
        <v>321</v>
      </c>
      <c r="AJ71" s="14">
        <v>0</v>
      </c>
      <c r="AK71" s="14">
        <v>1</v>
      </c>
      <c r="AL71" s="14">
        <v>0</v>
      </c>
      <c r="AM71" s="51">
        <v>69436</v>
      </c>
      <c r="AN71" s="51">
        <v>23187</v>
      </c>
      <c r="AO71" s="51">
        <v>38447</v>
      </c>
      <c r="AP71" s="51">
        <v>6422</v>
      </c>
      <c r="AQ71" s="51">
        <v>103</v>
      </c>
      <c r="AR71" s="51">
        <v>35</v>
      </c>
      <c r="AS71" s="51">
        <v>34</v>
      </c>
      <c r="AT71" s="51">
        <v>1208</v>
      </c>
      <c r="AU71" s="51">
        <v>34810</v>
      </c>
      <c r="AV71" s="51">
        <v>34626</v>
      </c>
      <c r="AW71" s="51">
        <v>20299</v>
      </c>
      <c r="AX71" s="51">
        <v>49137</v>
      </c>
      <c r="AY71" s="14">
        <v>20001.333333333332</v>
      </c>
      <c r="AZ71" s="14">
        <v>89894</v>
      </c>
      <c r="BA71" s="14">
        <v>5</v>
      </c>
      <c r="BB71" s="14">
        <v>378</v>
      </c>
      <c r="BC71" s="14">
        <v>89511</v>
      </c>
      <c r="BD71" s="14">
        <v>31299</v>
      </c>
      <c r="BE71" s="11">
        <f>Table14[[#This Row],[Melayu_Voters_GE15]]/Table14[[#This Row],[All_Voters_GE15]]</f>
        <v>0.34817674149553918</v>
      </c>
      <c r="BF71" s="14">
        <v>47169</v>
      </c>
      <c r="BG71" s="11">
        <f>Table14[[#This Row],[Chinese_Voters_GE15]]/Table14[[#This Row],[All_Voters_GE15]]</f>
        <v>0.52471800120141499</v>
      </c>
      <c r="BH71" s="14">
        <v>9267</v>
      </c>
      <c r="BI71" s="11">
        <f>Table14[[#This Row],[India_Voters_GE15]]/Table14[[#This Row],[All_Voters_GE15]]</f>
        <v>0.10308808151823258</v>
      </c>
      <c r="BJ71" s="14">
        <v>1831</v>
      </c>
      <c r="BK71" s="14">
        <v>91</v>
      </c>
      <c r="BL71" s="14">
        <v>73</v>
      </c>
      <c r="BM71" s="14">
        <v>164</v>
      </c>
      <c r="BN71" s="14">
        <f>Table14[[#This Row],[Lain_Voters_GE15]]+Table14[[#This Row],[Swak_Voters_GE15]]+Table14[[#This Row],[Sabah_Voters_GE15]]+Table14[[#This Row],[OA_Voters_GE15]]</f>
        <v>2159</v>
      </c>
      <c r="BO71" s="11">
        <f>Table14[[#This Row],[Base_Stock_GE15]]/Table14[[#This Row],[All_Voters_GE15]]</f>
        <v>0.21040336396199968</v>
      </c>
      <c r="BP71" s="14">
        <v>12791</v>
      </c>
      <c r="BQ71" s="10">
        <v>25681</v>
      </c>
      <c r="BR71" s="44">
        <v>11531</v>
      </c>
      <c r="BS71" s="10">
        <v>3627</v>
      </c>
      <c r="BT71" s="10">
        <v>33106</v>
      </c>
      <c r="BU71" s="10">
        <v>30573</v>
      </c>
      <c r="BV71" s="10">
        <v>22588</v>
      </c>
      <c r="BW71" s="10">
        <f t="shared" si="20"/>
        <v>36733</v>
      </c>
      <c r="BX71" s="10">
        <f t="shared" si="21"/>
        <v>53161</v>
      </c>
      <c r="BY71" s="14">
        <v>87603</v>
      </c>
      <c r="BZ71" s="14">
        <v>0</v>
      </c>
      <c r="CA71" s="14">
        <v>372</v>
      </c>
      <c r="CB71" s="14">
        <v>87231</v>
      </c>
      <c r="CC71" s="14">
        <v>31724</v>
      </c>
      <c r="CD71" s="14">
        <v>44648</v>
      </c>
      <c r="CE71" s="14">
        <v>8921</v>
      </c>
      <c r="CF71" s="14">
        <v>1956</v>
      </c>
      <c r="CG71" s="14">
        <v>105</v>
      </c>
      <c r="CH71" s="14">
        <v>79</v>
      </c>
      <c r="CI71" s="14">
        <v>170</v>
      </c>
      <c r="CJ71" s="14">
        <f t="shared" si="22"/>
        <v>2310</v>
      </c>
      <c r="CK71" s="14">
        <v>44270</v>
      </c>
      <c r="CL71" s="14">
        <v>43333</v>
      </c>
      <c r="CM71" s="14">
        <v>33524</v>
      </c>
      <c r="CN71" s="11">
        <f t="shared" si="23"/>
        <v>0.38268095841466615</v>
      </c>
      <c r="CO71" s="14">
        <v>54079</v>
      </c>
      <c r="CP71" s="11">
        <f t="shared" si="24"/>
        <v>0.61731904158533379</v>
      </c>
      <c r="CQ71" s="29">
        <v>2906</v>
      </c>
      <c r="CR71" s="29">
        <v>31525</v>
      </c>
      <c r="CS71" s="29">
        <v>29706</v>
      </c>
      <c r="CT71" s="29">
        <v>23583</v>
      </c>
      <c r="CU71" s="45">
        <v>8947</v>
      </c>
      <c r="CV71" s="45">
        <v>3087</v>
      </c>
      <c r="CW71" s="45">
        <v>4278</v>
      </c>
      <c r="CX71" s="45">
        <v>1022</v>
      </c>
      <c r="CY71" s="45">
        <v>560</v>
      </c>
      <c r="CZ71" s="45">
        <v>88</v>
      </c>
      <c r="DA71" s="45">
        <v>87</v>
      </c>
      <c r="DB71" s="45">
        <v>80</v>
      </c>
      <c r="DC71" s="45">
        <v>75</v>
      </c>
    </row>
    <row r="72" spans="1:107" x14ac:dyDescent="0.35">
      <c r="A72" s="1" t="s">
        <v>392</v>
      </c>
      <c r="B72" s="5" t="s">
        <v>0</v>
      </c>
      <c r="C72" s="3" t="s">
        <v>512</v>
      </c>
      <c r="D72" s="4" t="s">
        <v>513</v>
      </c>
      <c r="E72" s="5">
        <v>3</v>
      </c>
      <c r="F72" s="5">
        <v>33</v>
      </c>
      <c r="G72" s="2">
        <v>0.73090764807840902</v>
      </c>
      <c r="H72" s="2" t="s">
        <v>1276</v>
      </c>
      <c r="I72" s="17" t="s">
        <v>121</v>
      </c>
      <c r="J7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TAN KAR HING </v>
      </c>
      <c r="K72" s="8">
        <v>18393</v>
      </c>
      <c r="L72" s="8" t="s">
        <v>77</v>
      </c>
      <c r="M72" s="7" t="s">
        <v>515</v>
      </c>
      <c r="N72" s="8">
        <v>55880</v>
      </c>
      <c r="O72" s="8" t="s">
        <v>23</v>
      </c>
      <c r="P72" s="7" t="s">
        <v>514</v>
      </c>
      <c r="Q72" s="8">
        <v>28732</v>
      </c>
      <c r="R72" s="8" t="s">
        <v>25</v>
      </c>
      <c r="S72" s="7" t="s">
        <v>516</v>
      </c>
      <c r="T72" s="10">
        <v>27148</v>
      </c>
      <c r="U72" s="10">
        <v>0</v>
      </c>
      <c r="V72" s="10">
        <v>1</v>
      </c>
      <c r="W72" s="10">
        <v>0</v>
      </c>
      <c r="X72" s="10">
        <v>25707</v>
      </c>
      <c r="Y72" s="12" t="s">
        <v>26</v>
      </c>
      <c r="Z72" s="12" t="s">
        <v>1277</v>
      </c>
      <c r="AA72" s="13" t="s">
        <v>517</v>
      </c>
      <c r="AB72" s="14">
        <v>29778</v>
      </c>
      <c r="AC72" s="15" t="s">
        <v>16</v>
      </c>
      <c r="AD72" s="16">
        <v>36038</v>
      </c>
      <c r="AE72" s="14">
        <v>19145</v>
      </c>
      <c r="AF72" s="14">
        <v>11165</v>
      </c>
      <c r="AG72" s="14">
        <v>48923</v>
      </c>
      <c r="AH72" s="14" t="s">
        <v>82</v>
      </c>
      <c r="AI72" s="15" t="s">
        <v>29</v>
      </c>
      <c r="AJ72" s="14">
        <v>0</v>
      </c>
      <c r="AK72" s="14">
        <v>1</v>
      </c>
      <c r="AL72" s="14">
        <v>0</v>
      </c>
      <c r="AM72" s="51">
        <v>99167</v>
      </c>
      <c r="AN72" s="51">
        <v>42023</v>
      </c>
      <c r="AO72" s="51">
        <v>45623</v>
      </c>
      <c r="AP72" s="51">
        <v>9124</v>
      </c>
      <c r="AQ72" s="51">
        <v>184</v>
      </c>
      <c r="AR72" s="51">
        <v>82</v>
      </c>
      <c r="AS72" s="51">
        <v>57</v>
      </c>
      <c r="AT72" s="51">
        <v>2074</v>
      </c>
      <c r="AU72" s="51">
        <v>48241</v>
      </c>
      <c r="AV72" s="51">
        <v>50926</v>
      </c>
      <c r="AW72" s="51">
        <v>37607</v>
      </c>
      <c r="AX72" s="51">
        <v>61560</v>
      </c>
      <c r="AY72" s="14">
        <v>24574</v>
      </c>
      <c r="AZ72" s="14">
        <v>143657</v>
      </c>
      <c r="BA72" s="14">
        <v>27</v>
      </c>
      <c r="BB72" s="14">
        <v>1176</v>
      </c>
      <c r="BC72" s="14">
        <v>142454</v>
      </c>
      <c r="BD72" s="14">
        <v>61783</v>
      </c>
      <c r="BE72" s="11">
        <f>Table14[[#This Row],[Melayu_Voters_GE15]]/Table14[[#This Row],[All_Voters_GE15]]</f>
        <v>0.43007302115455565</v>
      </c>
      <c r="BF72" s="14">
        <v>64200</v>
      </c>
      <c r="BG72" s="11">
        <f>Table14[[#This Row],[Chinese_Voters_GE15]]/Table14[[#This Row],[All_Voters_GE15]]</f>
        <v>0.44689781911079862</v>
      </c>
      <c r="BH72" s="14">
        <v>13959</v>
      </c>
      <c r="BI72" s="11">
        <f>Table14[[#This Row],[India_Voters_GE15]]/Table14[[#This Row],[All_Voters_GE15]]</f>
        <v>9.716895104310963E-2</v>
      </c>
      <c r="BJ72" s="14">
        <v>3060</v>
      </c>
      <c r="BK72" s="14">
        <v>248</v>
      </c>
      <c r="BL72" s="14">
        <v>151</v>
      </c>
      <c r="BM72" s="14">
        <v>256</v>
      </c>
      <c r="BN72" s="14">
        <f>Table14[[#This Row],[Lain_Voters_GE15]]+Table14[[#This Row],[Swak_Voters_GE15]]+Table14[[#This Row],[Sabah_Voters_GE15]]+Table14[[#This Row],[OA_Voters_GE15]]</f>
        <v>3715</v>
      </c>
      <c r="BO72" s="11">
        <f>Table14[[#This Row],[Base_Stock_GE15]]/Table14[[#This Row],[All_Voters_GE15]]</f>
        <v>0.17894707532525389</v>
      </c>
      <c r="BP72" s="14">
        <v>18600</v>
      </c>
      <c r="BQ72" s="10">
        <v>49166</v>
      </c>
      <c r="BR72" s="44">
        <v>25602</v>
      </c>
      <c r="BS72" s="10">
        <v>8131</v>
      </c>
      <c r="BT72" s="10">
        <v>64748</v>
      </c>
      <c r="BU72" s="10">
        <v>44860</v>
      </c>
      <c r="BV72" s="10">
        <v>25918</v>
      </c>
      <c r="BW72" s="10">
        <f t="shared" si="20"/>
        <v>72879</v>
      </c>
      <c r="BX72" s="10">
        <f t="shared" si="21"/>
        <v>70778</v>
      </c>
      <c r="BY72" s="14">
        <v>147700</v>
      </c>
      <c r="BZ72" s="14">
        <v>0</v>
      </c>
      <c r="CA72" s="14">
        <v>1139</v>
      </c>
      <c r="CB72" s="14">
        <v>146561</v>
      </c>
      <c r="CC72" s="14">
        <v>64609</v>
      </c>
      <c r="CD72" s="14">
        <v>64892</v>
      </c>
      <c r="CE72" s="14">
        <v>14180</v>
      </c>
      <c r="CF72" s="14">
        <v>3252</v>
      </c>
      <c r="CG72" s="14">
        <v>292</v>
      </c>
      <c r="CH72" s="14">
        <v>183</v>
      </c>
      <c r="CI72" s="14">
        <v>292</v>
      </c>
      <c r="CJ72" s="14">
        <f t="shared" si="22"/>
        <v>4019</v>
      </c>
      <c r="CK72" s="14">
        <v>72745</v>
      </c>
      <c r="CL72" s="14">
        <v>74955</v>
      </c>
      <c r="CM72" s="14">
        <v>70209</v>
      </c>
      <c r="CN72" s="11">
        <f t="shared" si="23"/>
        <v>0.47534867975626272</v>
      </c>
      <c r="CO72" s="14">
        <v>77491</v>
      </c>
      <c r="CP72" s="11">
        <f t="shared" si="24"/>
        <v>0.52465132024373728</v>
      </c>
      <c r="CQ72" s="29">
        <v>6655</v>
      </c>
      <c r="CR72" s="29">
        <v>64547</v>
      </c>
      <c r="CS72" s="29">
        <v>46059</v>
      </c>
      <c r="CT72" s="29">
        <v>29435</v>
      </c>
      <c r="CU72" s="45">
        <v>10696</v>
      </c>
      <c r="CV72" s="45">
        <v>3950</v>
      </c>
      <c r="CW72" s="45">
        <v>4925</v>
      </c>
      <c r="CX72" s="45">
        <v>1252</v>
      </c>
      <c r="CY72" s="45">
        <v>569</v>
      </c>
      <c r="CZ72" s="45">
        <v>79</v>
      </c>
      <c r="DA72" s="45">
        <v>79</v>
      </c>
      <c r="DB72" s="45">
        <v>71</v>
      </c>
      <c r="DC72" s="45">
        <v>60</v>
      </c>
    </row>
    <row r="73" spans="1:107" x14ac:dyDescent="0.35">
      <c r="A73" s="1" t="s">
        <v>392</v>
      </c>
      <c r="B73" s="5" t="s">
        <v>0</v>
      </c>
      <c r="C73" s="3" t="s">
        <v>518</v>
      </c>
      <c r="D73" s="4" t="s">
        <v>519</v>
      </c>
      <c r="E73" s="5">
        <v>2</v>
      </c>
      <c r="F73" s="5">
        <v>37</v>
      </c>
      <c r="G73" s="2">
        <v>0.7351079972879605</v>
      </c>
      <c r="H73" s="2" t="s">
        <v>1276</v>
      </c>
      <c r="I73" s="21" t="s">
        <v>403</v>
      </c>
      <c r="J7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SERI M. SARAVANAN </v>
      </c>
      <c r="K73" s="8">
        <v>18398</v>
      </c>
      <c r="L73" s="8" t="s">
        <v>137</v>
      </c>
      <c r="M73" s="7" t="s">
        <v>520</v>
      </c>
      <c r="N73" s="8">
        <v>13334</v>
      </c>
      <c r="O73" s="8" t="s">
        <v>23</v>
      </c>
      <c r="P73" s="7" t="s">
        <v>521</v>
      </c>
      <c r="Q73" s="8">
        <v>12115</v>
      </c>
      <c r="R73" s="8" t="s">
        <v>25</v>
      </c>
      <c r="S73" s="7" t="s">
        <v>522</v>
      </c>
      <c r="T73" s="10">
        <v>5064</v>
      </c>
      <c r="U73" s="10">
        <v>1</v>
      </c>
      <c r="V73" s="10">
        <v>0</v>
      </c>
      <c r="W73" s="10">
        <v>0</v>
      </c>
      <c r="X73" s="10">
        <v>27723</v>
      </c>
      <c r="Y73" s="12" t="s">
        <v>523</v>
      </c>
      <c r="Z73" s="12" t="s">
        <v>1277</v>
      </c>
      <c r="AA73" s="13" t="s">
        <v>524</v>
      </c>
      <c r="AB73" s="14">
        <v>614</v>
      </c>
      <c r="AC73" s="15" t="s">
        <v>525</v>
      </c>
      <c r="AD73" s="16">
        <v>28674</v>
      </c>
      <c r="AE73" s="14">
        <v>16086</v>
      </c>
      <c r="AF73" s="14">
        <v>4616</v>
      </c>
      <c r="AG73" s="14">
        <v>15472</v>
      </c>
      <c r="AH73" s="14" t="s">
        <v>456</v>
      </c>
      <c r="AI73" s="15" t="s">
        <v>18</v>
      </c>
      <c r="AJ73" s="14">
        <v>1</v>
      </c>
      <c r="AK73" s="14">
        <v>0</v>
      </c>
      <c r="AL73" s="14">
        <v>0</v>
      </c>
      <c r="AM73" s="51">
        <v>47128</v>
      </c>
      <c r="AN73" s="51">
        <v>21797</v>
      </c>
      <c r="AO73" s="51">
        <v>12173</v>
      </c>
      <c r="AP73" s="51">
        <v>6822</v>
      </c>
      <c r="AQ73" s="51">
        <v>146</v>
      </c>
      <c r="AR73" s="51">
        <v>42</v>
      </c>
      <c r="AS73" s="51">
        <v>40</v>
      </c>
      <c r="AT73" s="51">
        <v>6108</v>
      </c>
      <c r="AU73" s="51">
        <v>23408</v>
      </c>
      <c r="AV73" s="51">
        <v>23720</v>
      </c>
      <c r="AW73" s="51">
        <v>18065</v>
      </c>
      <c r="AX73" s="51">
        <v>29063</v>
      </c>
      <c r="AY73" s="14">
        <v>16946.666666666668</v>
      </c>
      <c r="AZ73" s="14">
        <v>61946</v>
      </c>
      <c r="BA73" s="14">
        <v>4</v>
      </c>
      <c r="BB73" s="14">
        <v>1644</v>
      </c>
      <c r="BC73" s="14">
        <v>60298</v>
      </c>
      <c r="BD73" s="14">
        <v>28408</v>
      </c>
      <c r="BE73" s="11">
        <f>Table14[[#This Row],[Melayu_Voters_GE15]]/Table14[[#This Row],[All_Voters_GE15]]</f>
        <v>0.45859296806896327</v>
      </c>
      <c r="BF73" s="14">
        <v>14968</v>
      </c>
      <c r="BG73" s="11">
        <f>Table14[[#This Row],[Chinese_Voters_GE15]]/Table14[[#This Row],[All_Voters_GE15]]</f>
        <v>0.24162980660575339</v>
      </c>
      <c r="BH73" s="14">
        <v>8743</v>
      </c>
      <c r="BI73" s="11">
        <f>Table14[[#This Row],[India_Voters_GE15]]/Table14[[#This Row],[All_Voters_GE15]]</f>
        <v>0.14113905659768186</v>
      </c>
      <c r="BJ73" s="14">
        <v>9409</v>
      </c>
      <c r="BK73" s="14">
        <v>95</v>
      </c>
      <c r="BL73" s="14">
        <v>85</v>
      </c>
      <c r="BM73" s="14">
        <v>238</v>
      </c>
      <c r="BN73" s="14">
        <f>Table14[[#This Row],[Lain_Voters_GE15]]+Table14[[#This Row],[Swak_Voters_GE15]]+Table14[[#This Row],[Sabah_Voters_GE15]]+Table14[[#This Row],[OA_Voters_GE15]]</f>
        <v>9827</v>
      </c>
      <c r="BO73" s="11">
        <f>Table14[[#This Row],[Base_Stock_GE15]]/Table14[[#This Row],[All_Voters_GE15]]</f>
        <v>0.44753494979498271</v>
      </c>
      <c r="BP73" s="14">
        <v>19671</v>
      </c>
      <c r="BQ73" s="10">
        <v>17741</v>
      </c>
      <c r="BR73" s="44">
        <v>9475</v>
      </c>
      <c r="BS73" s="10">
        <v>2910</v>
      </c>
      <c r="BT73" s="10">
        <v>27627</v>
      </c>
      <c r="BU73" s="10">
        <v>19065</v>
      </c>
      <c r="BV73" s="10">
        <v>12344</v>
      </c>
      <c r="BW73" s="10">
        <f t="shared" si="20"/>
        <v>30537</v>
      </c>
      <c r="BX73" s="10">
        <f t="shared" si="21"/>
        <v>31409</v>
      </c>
      <c r="BY73" s="14">
        <v>62188</v>
      </c>
      <c r="BZ73" s="14">
        <v>0</v>
      </c>
      <c r="CA73" s="14">
        <v>1471</v>
      </c>
      <c r="CB73" s="14">
        <v>60717</v>
      </c>
      <c r="CC73" s="14">
        <v>29087</v>
      </c>
      <c r="CD73" s="14">
        <v>14120</v>
      </c>
      <c r="CE73" s="14">
        <v>8677</v>
      </c>
      <c r="CF73" s="14">
        <v>9829</v>
      </c>
      <c r="CG73" s="14">
        <v>107</v>
      </c>
      <c r="CH73" s="14">
        <v>93</v>
      </c>
      <c r="CI73" s="14">
        <v>275</v>
      </c>
      <c r="CJ73" s="14">
        <f t="shared" si="22"/>
        <v>10304</v>
      </c>
      <c r="CK73" s="14">
        <v>31117</v>
      </c>
      <c r="CL73" s="14">
        <v>31071</v>
      </c>
      <c r="CM73" s="14">
        <v>28372</v>
      </c>
      <c r="CN73" s="11">
        <f t="shared" si="23"/>
        <v>0.45622949765228016</v>
      </c>
      <c r="CO73" s="14">
        <v>33816</v>
      </c>
      <c r="CP73" s="11">
        <f t="shared" si="24"/>
        <v>0.54377050234771984</v>
      </c>
      <c r="CQ73" s="29">
        <v>2411</v>
      </c>
      <c r="CR73" s="29">
        <v>26699</v>
      </c>
      <c r="CS73" s="29">
        <v>19484</v>
      </c>
      <c r="CT73" s="29">
        <v>13425</v>
      </c>
      <c r="CU73" s="45">
        <v>9285</v>
      </c>
      <c r="CV73" s="45">
        <v>3103</v>
      </c>
      <c r="CW73" s="45">
        <v>4415</v>
      </c>
      <c r="CX73" s="45">
        <v>1186</v>
      </c>
      <c r="CY73" s="45">
        <v>581</v>
      </c>
      <c r="CZ73" s="45">
        <v>87</v>
      </c>
      <c r="DA73" s="45">
        <v>87</v>
      </c>
      <c r="DB73" s="45">
        <v>79</v>
      </c>
      <c r="DC73" s="45">
        <v>62</v>
      </c>
    </row>
    <row r="74" spans="1:107" x14ac:dyDescent="0.35">
      <c r="A74" s="1" t="s">
        <v>392</v>
      </c>
      <c r="B74" s="5" t="s">
        <v>0</v>
      </c>
      <c r="C74" s="3" t="s">
        <v>526</v>
      </c>
      <c r="D74" s="4" t="s">
        <v>527</v>
      </c>
      <c r="E74" s="5">
        <v>2</v>
      </c>
      <c r="F74" s="5">
        <v>53</v>
      </c>
      <c r="G74" s="2">
        <v>0.77872152592929467</v>
      </c>
      <c r="H74" s="2" t="s">
        <v>1276</v>
      </c>
      <c r="I74" s="9" t="s">
        <v>13</v>
      </c>
      <c r="J7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JAMALUDDIN BIN YAHYA </v>
      </c>
      <c r="K74" s="8">
        <v>19894</v>
      </c>
      <c r="L74" s="8" t="s">
        <v>8</v>
      </c>
      <c r="M74" s="7" t="s">
        <v>529</v>
      </c>
      <c r="N74" s="8">
        <v>11693</v>
      </c>
      <c r="O74" s="8" t="s">
        <v>10</v>
      </c>
      <c r="P74" s="7" t="s">
        <v>530</v>
      </c>
      <c r="Q74" s="8">
        <v>28897</v>
      </c>
      <c r="R74" s="8" t="s">
        <v>12</v>
      </c>
      <c r="S74" s="7" t="s">
        <v>528</v>
      </c>
      <c r="T74" s="10">
        <v>9003</v>
      </c>
      <c r="U74" s="10">
        <v>0</v>
      </c>
      <c r="V74" s="10">
        <v>0</v>
      </c>
      <c r="W74" s="10">
        <v>1</v>
      </c>
      <c r="X74" s="10">
        <v>41857</v>
      </c>
      <c r="Y74" s="12" t="s">
        <v>14</v>
      </c>
      <c r="Z74" s="12" t="s">
        <v>1277</v>
      </c>
      <c r="AA74" s="13" t="s">
        <v>531</v>
      </c>
      <c r="AB74" s="14">
        <v>7712</v>
      </c>
      <c r="AC74" s="15" t="s">
        <v>209</v>
      </c>
      <c r="AD74" s="16">
        <v>31650</v>
      </c>
      <c r="AE74" s="14">
        <v>20003</v>
      </c>
      <c r="AF74" s="14">
        <v>11151</v>
      </c>
      <c r="AG74" s="14">
        <v>12291</v>
      </c>
      <c r="AH74" s="14" t="s">
        <v>17</v>
      </c>
      <c r="AI74" s="15" t="s">
        <v>18</v>
      </c>
      <c r="AJ74" s="14">
        <v>1</v>
      </c>
      <c r="AK74" s="14">
        <v>0</v>
      </c>
      <c r="AL74" s="14">
        <v>0</v>
      </c>
      <c r="AM74" s="51">
        <v>54671</v>
      </c>
      <c r="AN74" s="51">
        <v>44100</v>
      </c>
      <c r="AO74" s="51">
        <v>7033</v>
      </c>
      <c r="AP74" s="51">
        <v>1913</v>
      </c>
      <c r="AQ74" s="51">
        <v>79</v>
      </c>
      <c r="AR74" s="51">
        <v>28</v>
      </c>
      <c r="AS74" s="51">
        <v>16</v>
      </c>
      <c r="AT74" s="51">
        <v>1502</v>
      </c>
      <c r="AU74" s="51">
        <v>27017</v>
      </c>
      <c r="AV74" s="51">
        <v>27654</v>
      </c>
      <c r="AW74" s="51">
        <v>21761</v>
      </c>
      <c r="AX74" s="51">
        <v>32910</v>
      </c>
      <c r="AY74" s="14">
        <v>20602</v>
      </c>
      <c r="AZ74" s="14">
        <v>74761</v>
      </c>
      <c r="BA74" s="14">
        <v>4</v>
      </c>
      <c r="BB74" s="14">
        <v>81</v>
      </c>
      <c r="BC74" s="14">
        <v>74676</v>
      </c>
      <c r="BD74" s="14">
        <v>60712</v>
      </c>
      <c r="BE74" s="11">
        <f>Table14[[#This Row],[Melayu_Voters_GE15]]/Table14[[#This Row],[All_Voters_GE15]]</f>
        <v>0.81208116531346553</v>
      </c>
      <c r="BF74" s="14">
        <v>9116</v>
      </c>
      <c r="BG74" s="11">
        <f>Table14[[#This Row],[Chinese_Voters_GE15]]/Table14[[#This Row],[All_Voters_GE15]]</f>
        <v>0.12193523361110739</v>
      </c>
      <c r="BH74" s="14">
        <v>2449</v>
      </c>
      <c r="BI74" s="11">
        <f>Table14[[#This Row],[India_Voters_GE15]]/Table14[[#This Row],[All_Voters_GE15]]</f>
        <v>3.275772127178609E-2</v>
      </c>
      <c r="BJ74" s="14">
        <v>2348</v>
      </c>
      <c r="BK74" s="14">
        <v>50</v>
      </c>
      <c r="BL74" s="14">
        <v>34</v>
      </c>
      <c r="BM74" s="14">
        <v>52</v>
      </c>
      <c r="BN74" s="14">
        <f>Table14[[#This Row],[Lain_Voters_GE15]]+Table14[[#This Row],[Swak_Voters_GE15]]+Table14[[#This Row],[Sabah_Voters_GE15]]+Table14[[#This Row],[OA_Voters_GE15]]</f>
        <v>2484</v>
      </c>
      <c r="BO74" s="11">
        <f>Table14[[#This Row],[Base_Stock_GE15]]/Table14[[#This Row],[All_Voters_GE15]]</f>
        <v>0.55987747622423456</v>
      </c>
      <c r="BP74" s="14">
        <v>24706</v>
      </c>
      <c r="BQ74" s="10">
        <v>23965</v>
      </c>
      <c r="BR74" s="44">
        <v>12756</v>
      </c>
      <c r="BS74" s="10">
        <v>4068</v>
      </c>
      <c r="BT74" s="10">
        <v>35102</v>
      </c>
      <c r="BU74" s="10">
        <v>23085</v>
      </c>
      <c r="BV74" s="10">
        <v>12506</v>
      </c>
      <c r="BW74" s="10">
        <f t="shared" si="20"/>
        <v>39170</v>
      </c>
      <c r="BX74" s="10">
        <f t="shared" si="21"/>
        <v>35591</v>
      </c>
      <c r="BY74" s="14">
        <v>75725</v>
      </c>
      <c r="BZ74" s="14">
        <v>0</v>
      </c>
      <c r="CA74" s="14">
        <v>70</v>
      </c>
      <c r="CB74" s="14">
        <v>75655</v>
      </c>
      <c r="CC74" s="14">
        <v>61787</v>
      </c>
      <c r="CD74" s="14">
        <v>8924</v>
      </c>
      <c r="CE74" s="14">
        <v>2412</v>
      </c>
      <c r="CF74" s="14">
        <v>2440</v>
      </c>
      <c r="CG74" s="14">
        <v>66</v>
      </c>
      <c r="CH74" s="14">
        <v>40</v>
      </c>
      <c r="CI74" s="14">
        <v>56</v>
      </c>
      <c r="CJ74" s="14">
        <f t="shared" si="22"/>
        <v>2602</v>
      </c>
      <c r="CK74" s="14">
        <v>37683</v>
      </c>
      <c r="CL74" s="14">
        <v>38042</v>
      </c>
      <c r="CM74" s="14">
        <v>36918</v>
      </c>
      <c r="CN74" s="11">
        <f t="shared" si="23"/>
        <v>0.48752723671178605</v>
      </c>
      <c r="CO74" s="14">
        <v>38807</v>
      </c>
      <c r="CP74" s="11">
        <f t="shared" si="24"/>
        <v>0.5124727632882139</v>
      </c>
      <c r="CQ74" s="29">
        <v>3294</v>
      </c>
      <c r="CR74" s="29">
        <v>34379</v>
      </c>
      <c r="CS74" s="29">
        <v>24323</v>
      </c>
      <c r="CT74" s="29">
        <v>13429</v>
      </c>
      <c r="CU74" s="45">
        <v>17302</v>
      </c>
      <c r="CV74" s="45">
        <v>6318</v>
      </c>
      <c r="CW74" s="45">
        <v>7446</v>
      </c>
      <c r="CX74" s="45">
        <v>2445</v>
      </c>
      <c r="CY74" s="45">
        <v>1093</v>
      </c>
      <c r="CZ74" s="45">
        <v>122</v>
      </c>
      <c r="DA74" s="45">
        <v>121</v>
      </c>
      <c r="DB74" s="45">
        <v>115</v>
      </c>
      <c r="DC74" s="45">
        <v>107</v>
      </c>
    </row>
    <row r="75" spans="1:107" x14ac:dyDescent="0.35">
      <c r="A75" s="1" t="s">
        <v>392</v>
      </c>
      <c r="B75" s="5" t="s">
        <v>0</v>
      </c>
      <c r="C75" s="3" t="s">
        <v>532</v>
      </c>
      <c r="D75" s="4" t="s">
        <v>533</v>
      </c>
      <c r="E75" s="5">
        <v>2</v>
      </c>
      <c r="F75" s="5">
        <v>26</v>
      </c>
      <c r="G75" s="2">
        <v>0.78166544766166157</v>
      </c>
      <c r="H75" s="2" t="s">
        <v>1276</v>
      </c>
      <c r="I75" s="9" t="s">
        <v>13</v>
      </c>
      <c r="J7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KOMANDER (B) NORDIN </v>
      </c>
      <c r="K75" s="8">
        <v>24849</v>
      </c>
      <c r="L75" s="8" t="s">
        <v>8</v>
      </c>
      <c r="M75" s="7" t="s">
        <v>535</v>
      </c>
      <c r="N75" s="8">
        <v>20358</v>
      </c>
      <c r="O75" s="8" t="s">
        <v>10</v>
      </c>
      <c r="P75" s="7" t="s">
        <v>536</v>
      </c>
      <c r="Q75" s="8">
        <v>25212</v>
      </c>
      <c r="R75" s="8" t="s">
        <v>25</v>
      </c>
      <c r="S75" s="7" t="s">
        <v>534</v>
      </c>
      <c r="T75" s="10">
        <v>363</v>
      </c>
      <c r="U75" s="10">
        <v>0</v>
      </c>
      <c r="V75" s="10">
        <v>0</v>
      </c>
      <c r="W75" s="10">
        <v>1</v>
      </c>
      <c r="X75" s="10">
        <v>24625</v>
      </c>
      <c r="Y75" s="12" t="s">
        <v>72</v>
      </c>
      <c r="Z75" s="12" t="s">
        <v>1277</v>
      </c>
      <c r="AA75" s="13" t="s">
        <v>537</v>
      </c>
      <c r="AB75" s="14">
        <v>400</v>
      </c>
      <c r="AC75" s="15" t="s">
        <v>196</v>
      </c>
      <c r="AD75" s="16">
        <v>25734</v>
      </c>
      <c r="AE75" s="14">
        <v>21555</v>
      </c>
      <c r="AF75" s="14">
        <v>10135</v>
      </c>
      <c r="AG75" s="14">
        <v>21955</v>
      </c>
      <c r="AH75" s="14" t="s">
        <v>17</v>
      </c>
      <c r="AI75" s="15" t="s">
        <v>10</v>
      </c>
      <c r="AJ75" s="14">
        <v>0</v>
      </c>
      <c r="AK75" s="14">
        <v>1</v>
      </c>
      <c r="AL75" s="14">
        <v>0</v>
      </c>
      <c r="AM75" s="14">
        <v>67157</v>
      </c>
      <c r="AN75" s="14">
        <v>48340</v>
      </c>
      <c r="AO75" s="14">
        <v>10046</v>
      </c>
      <c r="AP75" s="14">
        <v>7705</v>
      </c>
      <c r="AQ75" s="14">
        <v>172</v>
      </c>
      <c r="AR75" s="14">
        <v>447</v>
      </c>
      <c r="AS75" s="14">
        <v>429</v>
      </c>
      <c r="AT75" s="14">
        <v>18</v>
      </c>
      <c r="AU75" s="14">
        <v>35379</v>
      </c>
      <c r="AV75" s="14">
        <v>31778</v>
      </c>
      <c r="AW75" s="14">
        <v>31935</v>
      </c>
      <c r="AX75" s="14">
        <v>35222</v>
      </c>
      <c r="AY75" s="14">
        <v>26464.333333333332</v>
      </c>
      <c r="AZ75" s="14">
        <v>92972</v>
      </c>
      <c r="BA75" s="14">
        <v>13</v>
      </c>
      <c r="BB75" s="14">
        <v>8919</v>
      </c>
      <c r="BC75" s="14">
        <v>84040</v>
      </c>
      <c r="BD75" s="14">
        <v>67696</v>
      </c>
      <c r="BE75" s="11">
        <f>Table14[[#This Row],[Melayu_Voters_GE15]]/Table14[[#This Row],[All_Voters_GE15]]</f>
        <v>0.72813320139396809</v>
      </c>
      <c r="BF75" s="14">
        <v>12893</v>
      </c>
      <c r="BG75" s="11">
        <f>Table14[[#This Row],[Chinese_Voters_GE15]]/Table14[[#This Row],[All_Voters_GE15]]</f>
        <v>0.13867616056447102</v>
      </c>
      <c r="BH75" s="14">
        <v>10527</v>
      </c>
      <c r="BI75" s="11">
        <f>Table14[[#This Row],[India_Voters_GE15]]/Table14[[#This Row],[All_Voters_GE15]]</f>
        <v>0.11322763842877426</v>
      </c>
      <c r="BJ75" s="14">
        <v>39</v>
      </c>
      <c r="BK75" s="14">
        <v>1015</v>
      </c>
      <c r="BL75" s="14">
        <v>559</v>
      </c>
      <c r="BM75" s="14">
        <v>243</v>
      </c>
      <c r="BN75" s="14">
        <f>Table14[[#This Row],[Lain_Voters_GE15]]+Table14[[#This Row],[Swak_Voters_GE15]]+Table14[[#This Row],[Sabah_Voters_GE15]]+Table14[[#This Row],[OA_Voters_GE15]]</f>
        <v>1856</v>
      </c>
      <c r="BO75" s="11">
        <f>Table14[[#This Row],[Base_Stock_GE15]]/Table14[[#This Row],[All_Voters_GE15]]</f>
        <v>0.26486469044443489</v>
      </c>
      <c r="BP75" s="14">
        <v>19763</v>
      </c>
      <c r="BQ75" s="10">
        <v>31222</v>
      </c>
      <c r="BR75" s="44">
        <v>17627</v>
      </c>
      <c r="BS75" s="10">
        <v>5558</v>
      </c>
      <c r="BT75" s="10">
        <v>47807</v>
      </c>
      <c r="BU75" s="10">
        <v>26634</v>
      </c>
      <c r="BV75" s="10">
        <v>12973</v>
      </c>
      <c r="BW75" s="10">
        <f t="shared" si="20"/>
        <v>53365</v>
      </c>
      <c r="BX75" s="10">
        <f t="shared" si="21"/>
        <v>39607</v>
      </c>
      <c r="BY75" s="14">
        <v>97759</v>
      </c>
      <c r="BZ75" s="14">
        <v>0</v>
      </c>
      <c r="CA75" s="14">
        <v>10032</v>
      </c>
      <c r="CB75" s="14">
        <v>87727</v>
      </c>
      <c r="CC75" s="14">
        <v>72190</v>
      </c>
      <c r="CD75" s="14">
        <v>12599</v>
      </c>
      <c r="CE75" s="14">
        <v>10671</v>
      </c>
      <c r="CF75" s="14">
        <v>32</v>
      </c>
      <c r="CG75" s="14">
        <v>1270</v>
      </c>
      <c r="CH75" s="14">
        <v>729</v>
      </c>
      <c r="CI75" s="14">
        <v>268</v>
      </c>
      <c r="CJ75" s="14">
        <f t="shared" si="22"/>
        <v>2299</v>
      </c>
      <c r="CK75" s="14">
        <v>51510</v>
      </c>
      <c r="CL75" s="14">
        <v>46249</v>
      </c>
      <c r="CM75" s="14">
        <v>52252</v>
      </c>
      <c r="CN75" s="11">
        <f t="shared" si="23"/>
        <v>0.53449810247649832</v>
      </c>
      <c r="CO75" s="14">
        <v>45507</v>
      </c>
      <c r="CP75" s="11">
        <f t="shared" si="24"/>
        <v>0.46550189752350168</v>
      </c>
      <c r="CQ75" s="29">
        <v>4727</v>
      </c>
      <c r="CR75" s="29">
        <v>49200</v>
      </c>
      <c r="CS75" s="29">
        <v>29060</v>
      </c>
      <c r="CT75" s="29">
        <v>14912</v>
      </c>
      <c r="CU75" s="45">
        <v>9188</v>
      </c>
      <c r="CV75" s="45">
        <v>2860</v>
      </c>
      <c r="CW75" s="45">
        <v>3970</v>
      </c>
      <c r="CX75" s="45">
        <v>1506</v>
      </c>
      <c r="CY75" s="45">
        <v>852</v>
      </c>
      <c r="CZ75" s="45">
        <v>48</v>
      </c>
      <c r="DA75" s="45">
        <v>48</v>
      </c>
      <c r="DB75" s="45">
        <v>48</v>
      </c>
      <c r="DC75" s="45">
        <v>48</v>
      </c>
    </row>
    <row r="76" spans="1:107" x14ac:dyDescent="0.35">
      <c r="A76" s="1" t="s">
        <v>392</v>
      </c>
      <c r="B76" s="5" t="s">
        <v>0</v>
      </c>
      <c r="C76" s="3" t="s">
        <v>538</v>
      </c>
      <c r="D76" s="4" t="s">
        <v>539</v>
      </c>
      <c r="E76" s="5">
        <v>2</v>
      </c>
      <c r="F76" s="5">
        <v>41</v>
      </c>
      <c r="G76" s="2">
        <v>0.73378821992678278</v>
      </c>
      <c r="H76" s="2" t="s">
        <v>1276</v>
      </c>
      <c r="I76" s="21" t="s">
        <v>403</v>
      </c>
      <c r="J7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ZAHID HAMIDI </v>
      </c>
      <c r="K76" s="8">
        <v>16578</v>
      </c>
      <c r="L76" s="8" t="s">
        <v>8</v>
      </c>
      <c r="M76" s="7" t="s">
        <v>540</v>
      </c>
      <c r="N76" s="8">
        <v>16230</v>
      </c>
      <c r="O76" s="8" t="s">
        <v>23</v>
      </c>
      <c r="P76" s="7" t="s">
        <v>541</v>
      </c>
      <c r="Q76" s="8">
        <v>8822</v>
      </c>
      <c r="R76" s="8" t="s">
        <v>25</v>
      </c>
      <c r="S76" s="7" t="s">
        <v>542</v>
      </c>
      <c r="T76" s="10">
        <v>348</v>
      </c>
      <c r="U76" s="10">
        <v>1</v>
      </c>
      <c r="V76" s="10">
        <v>0</v>
      </c>
      <c r="W76" s="10">
        <v>0</v>
      </c>
      <c r="X76" s="10">
        <v>22760</v>
      </c>
      <c r="Y76" s="12" t="s">
        <v>14</v>
      </c>
      <c r="Z76" s="12" t="s">
        <v>1277</v>
      </c>
      <c r="AA76" s="13" t="s">
        <v>543</v>
      </c>
      <c r="AB76" s="14">
        <v>5073</v>
      </c>
      <c r="AC76" s="15" t="s">
        <v>544</v>
      </c>
      <c r="AD76" s="16">
        <v>28135</v>
      </c>
      <c r="AE76" s="14">
        <v>18909</v>
      </c>
      <c r="AF76" s="14">
        <v>4061</v>
      </c>
      <c r="AG76" s="14">
        <v>13836</v>
      </c>
      <c r="AH76" s="14" t="s">
        <v>17</v>
      </c>
      <c r="AI76" s="15" t="s">
        <v>29</v>
      </c>
      <c r="AJ76" s="14">
        <v>1</v>
      </c>
      <c r="AK76" s="14">
        <v>0</v>
      </c>
      <c r="AL76" s="14">
        <v>0</v>
      </c>
      <c r="AM76" s="51">
        <v>47309</v>
      </c>
      <c r="AN76" s="51">
        <v>27513</v>
      </c>
      <c r="AO76" s="51">
        <v>8381</v>
      </c>
      <c r="AP76" s="51">
        <v>10251</v>
      </c>
      <c r="AQ76" s="51">
        <v>520</v>
      </c>
      <c r="AR76" s="51">
        <v>567</v>
      </c>
      <c r="AS76" s="51">
        <v>69</v>
      </c>
      <c r="AT76" s="51">
        <v>8</v>
      </c>
      <c r="AU76" s="51">
        <v>23934</v>
      </c>
      <c r="AV76" s="51">
        <v>23375</v>
      </c>
      <c r="AW76" s="51">
        <v>19787</v>
      </c>
      <c r="AX76" s="51">
        <v>27522</v>
      </c>
      <c r="AY76" s="14">
        <v>16400</v>
      </c>
      <c r="AZ76" s="14">
        <v>58183</v>
      </c>
      <c r="BA76" s="14">
        <v>3</v>
      </c>
      <c r="BB76" s="14">
        <v>118</v>
      </c>
      <c r="BC76" s="14">
        <v>58062</v>
      </c>
      <c r="BD76" s="14">
        <v>33098</v>
      </c>
      <c r="BE76" s="11">
        <f>Table14[[#This Row],[Melayu_Voters_GE15]]/Table14[[#This Row],[All_Voters_GE15]]</f>
        <v>0.56886032002474951</v>
      </c>
      <c r="BF76" s="14">
        <v>11975</v>
      </c>
      <c r="BG76" s="11">
        <f>Table14[[#This Row],[Chinese_Voters_GE15]]/Table14[[#This Row],[All_Voters_GE15]]</f>
        <v>0.20581613185982159</v>
      </c>
      <c r="BH76" s="14">
        <v>12652</v>
      </c>
      <c r="BI76" s="11">
        <f>Table14[[#This Row],[India_Voters_GE15]]/Table14[[#This Row],[All_Voters_GE15]]</f>
        <v>0.21745183300964199</v>
      </c>
      <c r="BJ76" s="14">
        <v>4</v>
      </c>
      <c r="BK76" s="14">
        <v>165</v>
      </c>
      <c r="BL76" s="14">
        <v>33</v>
      </c>
      <c r="BM76" s="14">
        <v>256</v>
      </c>
      <c r="BN76" s="14">
        <f>Table14[[#This Row],[Lain_Voters_GE15]]+Table14[[#This Row],[Swak_Voters_GE15]]+Table14[[#This Row],[Sabah_Voters_GE15]]+Table14[[#This Row],[OA_Voters_GE15]]</f>
        <v>458</v>
      </c>
      <c r="BO76" s="11">
        <f>Table14[[#This Row],[Base_Stock_GE15]]/Table14[[#This Row],[All_Voters_GE15]]</f>
        <v>0.39117955416530603</v>
      </c>
      <c r="BP76" s="14">
        <v>17419</v>
      </c>
      <c r="BQ76" s="10">
        <v>16183</v>
      </c>
      <c r="BR76" s="44">
        <v>8166</v>
      </c>
      <c r="BS76" s="10">
        <v>2546</v>
      </c>
      <c r="BT76" s="10">
        <v>26568</v>
      </c>
      <c r="BU76" s="10">
        <v>17710</v>
      </c>
      <c r="BV76" s="10">
        <v>11359</v>
      </c>
      <c r="BW76" s="10">
        <f t="shared" si="20"/>
        <v>29114</v>
      </c>
      <c r="BX76" s="10">
        <f t="shared" si="21"/>
        <v>29069</v>
      </c>
      <c r="BY76" s="14">
        <v>57594</v>
      </c>
      <c r="BZ76" s="14">
        <v>0</v>
      </c>
      <c r="CA76" s="14">
        <v>297</v>
      </c>
      <c r="CB76" s="14">
        <v>57297</v>
      </c>
      <c r="CC76" s="14">
        <v>32620</v>
      </c>
      <c r="CD76" s="14">
        <v>11902</v>
      </c>
      <c r="CE76" s="14">
        <v>12641</v>
      </c>
      <c r="CF76" s="14">
        <v>6</v>
      </c>
      <c r="CG76" s="14">
        <v>155</v>
      </c>
      <c r="CH76" s="14">
        <v>39</v>
      </c>
      <c r="CI76" s="14">
        <v>231</v>
      </c>
      <c r="CJ76" s="14">
        <f t="shared" si="22"/>
        <v>431</v>
      </c>
      <c r="CK76" s="14">
        <v>29025</v>
      </c>
      <c r="CL76" s="14">
        <v>28569</v>
      </c>
      <c r="CM76" s="14">
        <v>26229</v>
      </c>
      <c r="CN76" s="11">
        <f t="shared" si="23"/>
        <v>0.45541202208563392</v>
      </c>
      <c r="CO76" s="14">
        <v>31365</v>
      </c>
      <c r="CP76" s="11">
        <f t="shared" si="24"/>
        <v>0.54458797791436608</v>
      </c>
      <c r="CQ76" s="29">
        <v>2006</v>
      </c>
      <c r="CR76" s="29">
        <v>25063</v>
      </c>
      <c r="CS76" s="29">
        <v>18516</v>
      </c>
      <c r="CT76" s="29">
        <v>12135</v>
      </c>
      <c r="CU76" s="45">
        <v>10872</v>
      </c>
      <c r="CV76" s="45">
        <v>3712</v>
      </c>
      <c r="CW76" s="45">
        <v>4274</v>
      </c>
      <c r="CX76" s="45">
        <v>1882</v>
      </c>
      <c r="CY76" s="45">
        <v>1004</v>
      </c>
      <c r="CZ76" s="45">
        <v>69</v>
      </c>
      <c r="DA76" s="45">
        <v>69</v>
      </c>
      <c r="DB76" s="45">
        <v>69</v>
      </c>
      <c r="DC76" s="45">
        <v>67</v>
      </c>
    </row>
    <row r="77" spans="1:107" x14ac:dyDescent="0.35">
      <c r="A77" s="1" t="s">
        <v>392</v>
      </c>
      <c r="B77" s="5" t="s">
        <v>0</v>
      </c>
      <c r="C77" s="3" t="s">
        <v>545</v>
      </c>
      <c r="D77" s="4" t="s">
        <v>546</v>
      </c>
      <c r="E77" s="5">
        <v>2</v>
      </c>
      <c r="F77" s="5">
        <v>37</v>
      </c>
      <c r="G77" s="2">
        <v>0.74679553323702741</v>
      </c>
      <c r="H77" s="2" t="s">
        <v>1276</v>
      </c>
      <c r="I77" s="17" t="s">
        <v>121</v>
      </c>
      <c r="J7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NGA KOR MING </v>
      </c>
      <c r="K77" s="8">
        <v>12304</v>
      </c>
      <c r="L77" s="8" t="s">
        <v>137</v>
      </c>
      <c r="M77" s="7" t="s">
        <v>548</v>
      </c>
      <c r="N77" s="8">
        <v>33133</v>
      </c>
      <c r="O77" s="8" t="s">
        <v>102</v>
      </c>
      <c r="P77" s="7" t="s">
        <v>547</v>
      </c>
      <c r="Q77" s="8">
        <v>17964</v>
      </c>
      <c r="R77" s="8" t="s">
        <v>25</v>
      </c>
      <c r="S77" s="7" t="s">
        <v>549</v>
      </c>
      <c r="T77" s="10">
        <v>15169</v>
      </c>
      <c r="U77" s="10">
        <v>0</v>
      </c>
      <c r="V77" s="10">
        <v>1</v>
      </c>
      <c r="W77" s="10">
        <v>0</v>
      </c>
      <c r="X77" s="10">
        <v>22214</v>
      </c>
      <c r="Y77" s="12" t="s">
        <v>319</v>
      </c>
      <c r="Z77" s="12" t="s">
        <v>1277</v>
      </c>
      <c r="AA77" s="13" t="s">
        <v>550</v>
      </c>
      <c r="AB77" s="14">
        <v>11179</v>
      </c>
      <c r="AC77" s="15" t="s">
        <v>551</v>
      </c>
      <c r="AD77" s="16">
        <v>32654</v>
      </c>
      <c r="AE77" s="14">
        <v>17991</v>
      </c>
      <c r="AF77" s="14">
        <v>6494</v>
      </c>
      <c r="AG77" s="14">
        <v>29170</v>
      </c>
      <c r="AH77" s="14" t="s">
        <v>339</v>
      </c>
      <c r="AI77" s="15" t="s">
        <v>321</v>
      </c>
      <c r="AJ77" s="14">
        <v>0</v>
      </c>
      <c r="AK77" s="14">
        <v>1</v>
      </c>
      <c r="AL77" s="14">
        <v>0</v>
      </c>
      <c r="AM77" s="51">
        <v>66487</v>
      </c>
      <c r="AN77" s="51">
        <v>27039</v>
      </c>
      <c r="AO77" s="51">
        <v>26654</v>
      </c>
      <c r="AP77" s="51">
        <v>12472</v>
      </c>
      <c r="AQ77" s="51">
        <v>142</v>
      </c>
      <c r="AR77" s="51">
        <v>20</v>
      </c>
      <c r="AS77" s="51">
        <v>19</v>
      </c>
      <c r="AT77" s="51">
        <v>141</v>
      </c>
      <c r="AU77" s="51">
        <v>32215</v>
      </c>
      <c r="AV77" s="51">
        <v>34272</v>
      </c>
      <c r="AW77" s="51">
        <v>24478</v>
      </c>
      <c r="AX77" s="51">
        <v>42009</v>
      </c>
      <c r="AY77" s="14">
        <v>18364.333333333332</v>
      </c>
      <c r="AZ77" s="14">
        <v>87222</v>
      </c>
      <c r="BA77" s="14">
        <v>13</v>
      </c>
      <c r="BB77" s="14">
        <v>390</v>
      </c>
      <c r="BC77" s="14">
        <v>86819</v>
      </c>
      <c r="BD77" s="14">
        <v>36868</v>
      </c>
      <c r="BE77" s="11">
        <f>Table14[[#This Row],[Melayu_Voters_GE15]]/Table14[[#This Row],[All_Voters_GE15]]</f>
        <v>0.42269152278094974</v>
      </c>
      <c r="BF77" s="14">
        <v>33402</v>
      </c>
      <c r="BG77" s="11">
        <f>Table14[[#This Row],[Chinese_Voters_GE15]]/Table14[[#This Row],[All_Voters_GE15]]</f>
        <v>0.38295384192061638</v>
      </c>
      <c r="BH77" s="14">
        <v>16411</v>
      </c>
      <c r="BI77" s="11">
        <f>Table14[[#This Row],[India_Voters_GE15]]/Table14[[#This Row],[All_Voters_GE15]]</f>
        <v>0.18815207172502349</v>
      </c>
      <c r="BJ77" s="14">
        <v>219</v>
      </c>
      <c r="BK77" s="14">
        <v>42</v>
      </c>
      <c r="BL77" s="14">
        <v>40</v>
      </c>
      <c r="BM77" s="14">
        <v>240</v>
      </c>
      <c r="BN77" s="14">
        <f>Table14[[#This Row],[Lain_Voters_GE15]]+Table14[[#This Row],[Swak_Voters_GE15]]+Table14[[#This Row],[Sabah_Voters_GE15]]+Table14[[#This Row],[OA_Voters_GE15]]</f>
        <v>541</v>
      </c>
      <c r="BO77" s="11">
        <f>Table14[[#This Row],[Base_Stock_GE15]]/Table14[[#This Row],[All_Voters_GE15]]</f>
        <v>0.25468345142280618</v>
      </c>
      <c r="BP77" s="14">
        <v>15918</v>
      </c>
      <c r="BQ77" s="10">
        <v>25274</v>
      </c>
      <c r="BR77" s="44">
        <v>12673</v>
      </c>
      <c r="BS77" s="10">
        <v>3892</v>
      </c>
      <c r="BT77" s="10">
        <v>37969</v>
      </c>
      <c r="BU77" s="10">
        <v>26182</v>
      </c>
      <c r="BV77" s="10">
        <v>19179</v>
      </c>
      <c r="BW77" s="10">
        <f t="shared" si="20"/>
        <v>41861</v>
      </c>
      <c r="BX77" s="10">
        <f t="shared" si="21"/>
        <v>45361</v>
      </c>
      <c r="BY77" s="14">
        <v>86639</v>
      </c>
      <c r="BZ77" s="14">
        <v>0</v>
      </c>
      <c r="CA77" s="14">
        <v>303</v>
      </c>
      <c r="CB77" s="14">
        <v>86336</v>
      </c>
      <c r="CC77" s="14">
        <v>37353</v>
      </c>
      <c r="CD77" s="14">
        <v>32541</v>
      </c>
      <c r="CE77" s="14">
        <v>16169</v>
      </c>
      <c r="CF77" s="14">
        <v>230</v>
      </c>
      <c r="CG77" s="14">
        <v>56</v>
      </c>
      <c r="CH77" s="14">
        <v>41</v>
      </c>
      <c r="CI77" s="14">
        <v>249</v>
      </c>
      <c r="CJ77" s="14">
        <f t="shared" si="22"/>
        <v>576</v>
      </c>
      <c r="CK77" s="14">
        <v>42322</v>
      </c>
      <c r="CL77" s="14">
        <v>44317</v>
      </c>
      <c r="CM77" s="14">
        <v>38164</v>
      </c>
      <c r="CN77" s="11">
        <f t="shared" si="23"/>
        <v>0.4404944655409227</v>
      </c>
      <c r="CO77" s="14">
        <v>48475</v>
      </c>
      <c r="CP77" s="11">
        <f t="shared" si="24"/>
        <v>0.55950553445907736</v>
      </c>
      <c r="CQ77" s="29">
        <v>2911</v>
      </c>
      <c r="CR77" s="29">
        <v>36286</v>
      </c>
      <c r="CS77" s="29">
        <v>26914</v>
      </c>
      <c r="CT77" s="29">
        <v>20473</v>
      </c>
      <c r="CU77" s="45">
        <v>10476</v>
      </c>
      <c r="CV77" s="45">
        <v>3624</v>
      </c>
      <c r="CW77" s="45">
        <v>4728</v>
      </c>
      <c r="CX77" s="45">
        <v>1417</v>
      </c>
      <c r="CY77" s="45">
        <v>707</v>
      </c>
      <c r="CZ77" s="45">
        <v>63</v>
      </c>
      <c r="DA77" s="45">
        <v>63</v>
      </c>
      <c r="DB77" s="45">
        <v>63</v>
      </c>
      <c r="DC77" s="45">
        <v>57</v>
      </c>
    </row>
    <row r="78" spans="1:107" x14ac:dyDescent="0.35">
      <c r="A78" s="1" t="s">
        <v>392</v>
      </c>
      <c r="B78" s="5" t="s">
        <v>0</v>
      </c>
      <c r="C78" s="3" t="s">
        <v>552</v>
      </c>
      <c r="D78" s="4" t="s">
        <v>553</v>
      </c>
      <c r="E78" s="5">
        <v>3</v>
      </c>
      <c r="F78" s="5">
        <v>49</v>
      </c>
      <c r="G78" s="2">
        <v>0.75557402021880626</v>
      </c>
      <c r="H78" s="2" t="s">
        <v>1276</v>
      </c>
      <c r="I78" s="17" t="s">
        <v>121</v>
      </c>
      <c r="J7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CHANG LIH KANG </v>
      </c>
      <c r="K78" s="8">
        <v>20963</v>
      </c>
      <c r="L78" s="8" t="s">
        <v>77</v>
      </c>
      <c r="M78" s="7" t="s">
        <v>555</v>
      </c>
      <c r="N78" s="8">
        <v>25140</v>
      </c>
      <c r="O78" s="8" t="s">
        <v>23</v>
      </c>
      <c r="P78" s="7" t="s">
        <v>554</v>
      </c>
      <c r="Q78" s="8">
        <v>21599</v>
      </c>
      <c r="R78" s="8" t="s">
        <v>25</v>
      </c>
      <c r="S78" s="7" t="s">
        <v>556</v>
      </c>
      <c r="T78" s="10">
        <v>3541</v>
      </c>
      <c r="U78" s="10">
        <v>0</v>
      </c>
      <c r="V78" s="10">
        <v>1</v>
      </c>
      <c r="W78" s="10">
        <v>0</v>
      </c>
      <c r="X78" s="10">
        <v>35132</v>
      </c>
      <c r="Y78" s="12" t="s">
        <v>26</v>
      </c>
      <c r="Z78" s="12" t="s">
        <v>1277</v>
      </c>
      <c r="AA78" s="13" t="s">
        <v>557</v>
      </c>
      <c r="AB78" s="14">
        <v>5358</v>
      </c>
      <c r="AC78" s="15" t="s">
        <v>16</v>
      </c>
      <c r="AD78" s="16">
        <v>35887</v>
      </c>
      <c r="AE78" s="14">
        <v>19314</v>
      </c>
      <c r="AF78" s="14">
        <v>10311</v>
      </c>
      <c r="AG78" s="14">
        <v>24672</v>
      </c>
      <c r="AH78" s="14" t="s">
        <v>82</v>
      </c>
      <c r="AI78" s="15" t="s">
        <v>29</v>
      </c>
      <c r="AJ78" s="14">
        <v>0</v>
      </c>
      <c r="AK78" s="14">
        <v>1</v>
      </c>
      <c r="AL78" s="14">
        <v>0</v>
      </c>
      <c r="AM78" s="51">
        <v>68468</v>
      </c>
      <c r="AN78" s="51">
        <v>38041</v>
      </c>
      <c r="AO78" s="51">
        <v>17497</v>
      </c>
      <c r="AP78" s="51">
        <v>9000</v>
      </c>
      <c r="AQ78" s="51">
        <v>209</v>
      </c>
      <c r="AR78" s="51">
        <v>47</v>
      </c>
      <c r="AS78" s="51">
        <v>41</v>
      </c>
      <c r="AT78" s="51">
        <v>3633</v>
      </c>
      <c r="AU78" s="51">
        <v>33943</v>
      </c>
      <c r="AV78" s="51">
        <v>34525</v>
      </c>
      <c r="AW78" s="51">
        <v>26504</v>
      </c>
      <c r="AX78" s="51">
        <v>41964</v>
      </c>
      <c r="AY78" s="14">
        <v>22851.666666666668</v>
      </c>
      <c r="AZ78" s="14">
        <v>93873</v>
      </c>
      <c r="BA78" s="14">
        <v>3</v>
      </c>
      <c r="BB78" s="14">
        <v>483</v>
      </c>
      <c r="BC78" s="14">
        <v>93387</v>
      </c>
      <c r="BD78" s="14">
        <v>52275</v>
      </c>
      <c r="BE78" s="11">
        <f>Table14[[#This Row],[Melayu_Voters_GE15]]/Table14[[#This Row],[All_Voters_GE15]]</f>
        <v>0.55686938736377867</v>
      </c>
      <c r="BF78" s="14">
        <v>22114</v>
      </c>
      <c r="BG78" s="11">
        <f>Table14[[#This Row],[Chinese_Voters_GE15]]/Table14[[#This Row],[All_Voters_GE15]]</f>
        <v>0.23557359411119277</v>
      </c>
      <c r="BH78" s="14">
        <v>12338</v>
      </c>
      <c r="BI78" s="11">
        <f>Table14[[#This Row],[India_Voters_GE15]]/Table14[[#This Row],[All_Voters_GE15]]</f>
        <v>0.13143289337722242</v>
      </c>
      <c r="BJ78" s="14">
        <v>6824</v>
      </c>
      <c r="BK78" s="14">
        <v>130</v>
      </c>
      <c r="BL78" s="14">
        <v>90</v>
      </c>
      <c r="BM78" s="14">
        <v>102</v>
      </c>
      <c r="BN78" s="14">
        <f>Table14[[#This Row],[Lain_Voters_GE15]]+Table14[[#This Row],[Swak_Voters_GE15]]+Table14[[#This Row],[Sabah_Voters_GE15]]+Table14[[#This Row],[OA_Voters_GE15]]</f>
        <v>7146</v>
      </c>
      <c r="BO78" s="11">
        <f>Table14[[#This Row],[Base_Stock_GE15]]/Table14[[#This Row],[All_Voters_GE15]]</f>
        <v>0.37425031691753752</v>
      </c>
      <c r="BP78" s="14">
        <v>28140</v>
      </c>
      <c r="BQ78" s="10">
        <v>29463</v>
      </c>
      <c r="BR78" s="44">
        <v>14516</v>
      </c>
      <c r="BS78" s="10">
        <v>4697</v>
      </c>
      <c r="BT78" s="10">
        <v>42466</v>
      </c>
      <c r="BU78" s="10">
        <v>28058</v>
      </c>
      <c r="BV78" s="10">
        <v>18652</v>
      </c>
      <c r="BW78" s="10">
        <f t="shared" si="20"/>
        <v>47163</v>
      </c>
      <c r="BX78" s="10">
        <f t="shared" si="21"/>
        <v>46710</v>
      </c>
      <c r="BY78" s="14">
        <v>94749</v>
      </c>
      <c r="BZ78" s="14">
        <v>0</v>
      </c>
      <c r="CA78" s="14">
        <v>441</v>
      </c>
      <c r="CB78" s="14">
        <v>94308</v>
      </c>
      <c r="CC78" s="14">
        <v>53506</v>
      </c>
      <c r="CD78" s="14">
        <v>21451</v>
      </c>
      <c r="CE78" s="14">
        <v>12247</v>
      </c>
      <c r="CF78" s="14">
        <v>7174</v>
      </c>
      <c r="CG78" s="14">
        <v>162</v>
      </c>
      <c r="CH78" s="14">
        <v>101</v>
      </c>
      <c r="CI78" s="14">
        <v>108</v>
      </c>
      <c r="CJ78" s="14">
        <f t="shared" si="22"/>
        <v>7545</v>
      </c>
      <c r="CK78" s="14">
        <v>47416</v>
      </c>
      <c r="CL78" s="14">
        <v>47333</v>
      </c>
      <c r="CM78" s="14">
        <v>43196</v>
      </c>
      <c r="CN78" s="11">
        <f t="shared" si="23"/>
        <v>0.45589927070470398</v>
      </c>
      <c r="CO78" s="14">
        <v>51553</v>
      </c>
      <c r="CP78" s="11">
        <f t="shared" si="24"/>
        <v>0.54410072929529596</v>
      </c>
      <c r="CQ78" s="29">
        <v>3835</v>
      </c>
      <c r="CR78" s="29">
        <v>40566</v>
      </c>
      <c r="CS78" s="29">
        <v>30251</v>
      </c>
      <c r="CT78" s="29">
        <v>19778</v>
      </c>
      <c r="CU78" s="45">
        <v>11143</v>
      </c>
      <c r="CV78" s="45">
        <v>3883</v>
      </c>
      <c r="CW78" s="45">
        <v>5454</v>
      </c>
      <c r="CX78" s="45">
        <v>1140</v>
      </c>
      <c r="CY78" s="45">
        <v>666</v>
      </c>
      <c r="CZ78" s="45">
        <v>62</v>
      </c>
      <c r="DA78" s="45">
        <v>62</v>
      </c>
      <c r="DB78" s="45">
        <v>61</v>
      </c>
      <c r="DC78" s="45">
        <v>59</v>
      </c>
    </row>
    <row r="79" spans="1:107" x14ac:dyDescent="0.35">
      <c r="A79" s="1" t="s">
        <v>558</v>
      </c>
      <c r="B79" s="5" t="s">
        <v>0</v>
      </c>
      <c r="C79" s="3" t="s">
        <v>559</v>
      </c>
      <c r="D79" s="4" t="s">
        <v>560</v>
      </c>
      <c r="E79" s="5">
        <v>2</v>
      </c>
      <c r="F79" s="5">
        <v>29</v>
      </c>
      <c r="G79" s="2">
        <v>0.74291612342459801</v>
      </c>
      <c r="H79" s="2" t="s">
        <v>1276</v>
      </c>
      <c r="I79" s="21" t="s">
        <v>403</v>
      </c>
      <c r="J7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RAMLI BIN MOHD NOR </v>
      </c>
      <c r="K79" s="8">
        <v>16120</v>
      </c>
      <c r="L79" s="8" t="s">
        <v>8</v>
      </c>
      <c r="M79" s="7" t="s">
        <v>561</v>
      </c>
      <c r="N79" s="8">
        <v>11576</v>
      </c>
      <c r="O79" s="8" t="s">
        <v>102</v>
      </c>
      <c r="P79" s="7" t="s">
        <v>562</v>
      </c>
      <c r="Q79" s="8">
        <v>5569</v>
      </c>
      <c r="R79" s="8" t="s">
        <v>25</v>
      </c>
      <c r="S79" s="7" t="s">
        <v>563</v>
      </c>
      <c r="T79" s="10">
        <v>4544</v>
      </c>
      <c r="U79" s="10">
        <v>1</v>
      </c>
      <c r="V79" s="10">
        <v>0</v>
      </c>
      <c r="W79" s="10">
        <v>0</v>
      </c>
      <c r="X79" s="10">
        <v>20281</v>
      </c>
      <c r="Y79" s="12" t="s">
        <v>523</v>
      </c>
      <c r="Z79" s="12" t="s">
        <v>1277</v>
      </c>
      <c r="AA79" s="13" t="s">
        <v>564</v>
      </c>
      <c r="AB79" s="14">
        <v>597</v>
      </c>
      <c r="AC79" s="15" t="s">
        <v>565</v>
      </c>
      <c r="AD79" s="16">
        <v>17569</v>
      </c>
      <c r="AE79" s="14">
        <v>10307</v>
      </c>
      <c r="AF79" s="14">
        <v>3587</v>
      </c>
      <c r="AG79" s="14">
        <v>9710</v>
      </c>
      <c r="AH79" s="14" t="s">
        <v>456</v>
      </c>
      <c r="AI79" s="15" t="s">
        <v>321</v>
      </c>
      <c r="AJ79" s="14">
        <v>1</v>
      </c>
      <c r="AK79" s="14">
        <v>0</v>
      </c>
      <c r="AL79" s="14">
        <v>0</v>
      </c>
      <c r="AM79" s="51">
        <v>32048</v>
      </c>
      <c r="AN79" s="51">
        <v>10733</v>
      </c>
      <c r="AO79" s="51">
        <v>9449</v>
      </c>
      <c r="AP79" s="51">
        <v>4828</v>
      </c>
      <c r="AQ79" s="51">
        <v>70</v>
      </c>
      <c r="AR79" s="51">
        <v>41</v>
      </c>
      <c r="AS79" s="51">
        <v>18</v>
      </c>
      <c r="AT79" s="51">
        <v>6909</v>
      </c>
      <c r="AU79" s="51">
        <v>16187</v>
      </c>
      <c r="AV79" s="51">
        <v>15861</v>
      </c>
      <c r="AW79" s="51">
        <v>12663</v>
      </c>
      <c r="AX79" s="51">
        <v>19385</v>
      </c>
      <c r="AY79" s="14">
        <v>9992.3333333333339</v>
      </c>
      <c r="AZ79" s="14">
        <v>46020</v>
      </c>
      <c r="BA79" s="14">
        <v>6</v>
      </c>
      <c r="BB79" s="14">
        <v>353</v>
      </c>
      <c r="BC79" s="14">
        <v>45661</v>
      </c>
      <c r="BD79" s="14">
        <v>14388</v>
      </c>
      <c r="BE79" s="11">
        <f>Table14[[#This Row],[Melayu_Voters_GE15]]/Table14[[#This Row],[All_Voters_GE15]]</f>
        <v>0.31264667535853974</v>
      </c>
      <c r="BF79" s="14">
        <v>12426</v>
      </c>
      <c r="BG79" s="11">
        <f>Table14[[#This Row],[Chinese_Voters_GE15]]/Table14[[#This Row],[All_Voters_GE15]]</f>
        <v>0.27001303780964797</v>
      </c>
      <c r="BH79" s="14">
        <v>5587</v>
      </c>
      <c r="BI79" s="11">
        <f>Table14[[#This Row],[India_Voters_GE15]]/Table14[[#This Row],[All_Voters_GE15]]</f>
        <v>0.12140373750543242</v>
      </c>
      <c r="BJ79" s="14">
        <v>13357</v>
      </c>
      <c r="BK79" s="14">
        <v>135</v>
      </c>
      <c r="BL79" s="14">
        <v>54</v>
      </c>
      <c r="BM79" s="14">
        <v>73</v>
      </c>
      <c r="BN79" s="14">
        <f>Table14[[#This Row],[Lain_Voters_GE15]]+Table14[[#This Row],[Swak_Voters_GE15]]+Table14[[#This Row],[Sabah_Voters_GE15]]+Table14[[#This Row],[OA_Voters_GE15]]</f>
        <v>13619</v>
      </c>
      <c r="BO79" s="11">
        <f>Table14[[#This Row],[Base_Stock_GE15]]/Table14[[#This Row],[All_Voters_GE15]]</f>
        <v>0.44069969578444157</v>
      </c>
      <c r="BP79" s="14">
        <v>14261</v>
      </c>
      <c r="BQ79" s="10">
        <v>15408</v>
      </c>
      <c r="BR79" s="44">
        <v>8760</v>
      </c>
      <c r="BS79" s="10">
        <v>2997</v>
      </c>
      <c r="BT79" s="10">
        <v>21767</v>
      </c>
      <c r="BU79" s="10">
        <v>13611</v>
      </c>
      <c r="BV79" s="10">
        <v>7645</v>
      </c>
      <c r="BW79" s="10">
        <f t="shared" si="20"/>
        <v>24764</v>
      </c>
      <c r="BX79" s="10">
        <f t="shared" si="21"/>
        <v>21256</v>
      </c>
      <c r="BY79" s="14">
        <v>47824</v>
      </c>
      <c r="BZ79" s="14">
        <v>0</v>
      </c>
      <c r="CA79" s="14">
        <v>334</v>
      </c>
      <c r="CB79" s="14">
        <v>47490</v>
      </c>
      <c r="CC79" s="14">
        <v>14851</v>
      </c>
      <c r="CD79" s="14">
        <v>12467</v>
      </c>
      <c r="CE79" s="14">
        <v>5297</v>
      </c>
      <c r="CF79" s="14">
        <v>14889</v>
      </c>
      <c r="CG79" s="14">
        <v>168</v>
      </c>
      <c r="CH79" s="14">
        <v>56</v>
      </c>
      <c r="CI79" s="14">
        <v>96</v>
      </c>
      <c r="CJ79" s="14">
        <f t="shared" si="22"/>
        <v>15209</v>
      </c>
      <c r="CK79" s="14">
        <v>24192</v>
      </c>
      <c r="CL79" s="14">
        <v>23632</v>
      </c>
      <c r="CM79" s="14">
        <v>24533</v>
      </c>
      <c r="CN79" s="11">
        <f t="shared" si="23"/>
        <v>0.51298511207761788</v>
      </c>
      <c r="CO79" s="14">
        <v>23291</v>
      </c>
      <c r="CP79" s="11">
        <f t="shared" si="24"/>
        <v>0.48701488792238207</v>
      </c>
      <c r="CQ79" s="29">
        <v>2406</v>
      </c>
      <c r="CR79" s="29">
        <v>22135</v>
      </c>
      <c r="CS79" s="29">
        <v>14255</v>
      </c>
      <c r="CT79" s="29">
        <v>8452</v>
      </c>
      <c r="CU79" s="45">
        <v>7286</v>
      </c>
      <c r="CV79" s="45">
        <v>2535</v>
      </c>
      <c r="CW79" s="45">
        <v>2886</v>
      </c>
      <c r="CX79" s="45">
        <v>1074</v>
      </c>
      <c r="CY79" s="45">
        <v>791</v>
      </c>
      <c r="CZ79" s="45">
        <v>40</v>
      </c>
      <c r="DA79" s="45">
        <v>40</v>
      </c>
      <c r="DB79" s="45">
        <v>38</v>
      </c>
      <c r="DC79" s="45">
        <v>36</v>
      </c>
    </row>
    <row r="80" spans="1:107" x14ac:dyDescent="0.35">
      <c r="A80" s="1" t="s">
        <v>558</v>
      </c>
      <c r="B80" s="5" t="s">
        <v>0</v>
      </c>
      <c r="C80" s="3" t="s">
        <v>566</v>
      </c>
      <c r="D80" s="4" t="s">
        <v>567</v>
      </c>
      <c r="E80" s="5">
        <v>3</v>
      </c>
      <c r="F80" s="5">
        <v>42</v>
      </c>
      <c r="G80" s="2">
        <v>0.77122060945590354</v>
      </c>
      <c r="H80" s="2" t="s">
        <v>1276</v>
      </c>
      <c r="I80" s="21" t="s">
        <v>403</v>
      </c>
      <c r="J8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 SRI ABDUL RAHMAN BIN MOHAMAD </v>
      </c>
      <c r="K80" s="8">
        <v>17672</v>
      </c>
      <c r="L80" s="8" t="s">
        <v>8</v>
      </c>
      <c r="M80" s="7" t="s">
        <v>568</v>
      </c>
      <c r="N80" s="8">
        <v>6366</v>
      </c>
      <c r="O80" s="8" t="s">
        <v>102</v>
      </c>
      <c r="P80" s="7" t="s">
        <v>569</v>
      </c>
      <c r="Q80" s="8">
        <v>11554</v>
      </c>
      <c r="R80" s="8" t="s">
        <v>25</v>
      </c>
      <c r="S80" s="7" t="s">
        <v>570</v>
      </c>
      <c r="T80" s="10">
        <v>6118</v>
      </c>
      <c r="U80" s="10">
        <v>1</v>
      </c>
      <c r="V80" s="10">
        <v>0</v>
      </c>
      <c r="W80" s="10">
        <v>0</v>
      </c>
      <c r="X80" s="10">
        <v>23976</v>
      </c>
      <c r="Y80" s="12" t="s">
        <v>14</v>
      </c>
      <c r="Z80" s="12" t="s">
        <v>1277</v>
      </c>
      <c r="AA80" s="13" t="s">
        <v>571</v>
      </c>
      <c r="AB80" s="14">
        <v>6569</v>
      </c>
      <c r="AC80" s="15" t="s">
        <v>16</v>
      </c>
      <c r="AD80" s="16">
        <v>18726</v>
      </c>
      <c r="AE80" s="14">
        <v>13995</v>
      </c>
      <c r="AF80" s="14">
        <v>6671</v>
      </c>
      <c r="AG80" s="14">
        <v>7426</v>
      </c>
      <c r="AH80" s="14" t="s">
        <v>17</v>
      </c>
      <c r="AI80" s="15" t="s">
        <v>18</v>
      </c>
      <c r="AJ80" s="14">
        <v>1</v>
      </c>
      <c r="AK80" s="14">
        <v>0</v>
      </c>
      <c r="AL80" s="14">
        <v>0</v>
      </c>
      <c r="AM80" s="51">
        <v>35294</v>
      </c>
      <c r="AN80" s="51">
        <v>27534</v>
      </c>
      <c r="AO80" s="51">
        <v>5519</v>
      </c>
      <c r="AP80" s="51">
        <v>1854</v>
      </c>
      <c r="AQ80" s="51">
        <v>69</v>
      </c>
      <c r="AR80" s="51">
        <v>24</v>
      </c>
      <c r="AS80" s="51">
        <v>22</v>
      </c>
      <c r="AT80" s="51">
        <v>272</v>
      </c>
      <c r="AU80" s="51">
        <v>17904</v>
      </c>
      <c r="AV80" s="51">
        <v>17390</v>
      </c>
      <c r="AW80" s="51">
        <v>14458</v>
      </c>
      <c r="AX80" s="51">
        <v>20836</v>
      </c>
      <c r="AY80" s="14">
        <v>13823</v>
      </c>
      <c r="AZ80" s="14">
        <v>47124</v>
      </c>
      <c r="BA80" s="14">
        <v>2</v>
      </c>
      <c r="BB80" s="14">
        <v>901</v>
      </c>
      <c r="BC80" s="14">
        <v>46221</v>
      </c>
      <c r="BD80" s="14">
        <v>37137</v>
      </c>
      <c r="BE80" s="11">
        <f>Table14[[#This Row],[Melayu_Voters_GE15]]/Table14[[#This Row],[All_Voters_GE15]]</f>
        <v>0.78806977336389106</v>
      </c>
      <c r="BF80" s="14">
        <v>6927</v>
      </c>
      <c r="BG80" s="11">
        <f>Table14[[#This Row],[Chinese_Voters_GE15]]/Table14[[#This Row],[All_Voters_GE15]]</f>
        <v>0.14699516170104404</v>
      </c>
      <c r="BH80" s="14">
        <v>2352</v>
      </c>
      <c r="BI80" s="11">
        <f>Table14[[#This Row],[India_Voters_GE15]]/Table14[[#This Row],[All_Voters_GE15]]</f>
        <v>4.9910873440285206E-2</v>
      </c>
      <c r="BJ80" s="14">
        <v>546</v>
      </c>
      <c r="BK80" s="14">
        <v>52</v>
      </c>
      <c r="BL80" s="14">
        <v>32</v>
      </c>
      <c r="BM80" s="14">
        <v>78</v>
      </c>
      <c r="BN80" s="14">
        <f>Table14[[#This Row],[Lain_Voters_GE15]]+Table14[[#This Row],[Swak_Voters_GE15]]+Table14[[#This Row],[Sabah_Voters_GE15]]+Table14[[#This Row],[OA_Voters_GE15]]</f>
        <v>708</v>
      </c>
      <c r="BO80" s="11">
        <f>Table14[[#This Row],[Base_Stock_GE15]]/Table14[[#This Row],[All_Voters_GE15]]</f>
        <v>0.5087853323147441</v>
      </c>
      <c r="BP80" s="14">
        <v>19257</v>
      </c>
      <c r="BQ80" s="10">
        <v>14206</v>
      </c>
      <c r="BR80" s="44">
        <v>8083</v>
      </c>
      <c r="BS80" s="10">
        <v>2569</v>
      </c>
      <c r="BT80" s="10">
        <v>22565</v>
      </c>
      <c r="BU80" s="10">
        <v>13654</v>
      </c>
      <c r="BV80" s="10">
        <v>8336</v>
      </c>
      <c r="BW80" s="10">
        <f t="shared" si="20"/>
        <v>25134</v>
      </c>
      <c r="BX80" s="10">
        <f t="shared" si="21"/>
        <v>21990</v>
      </c>
      <c r="BY80" s="14">
        <v>47856</v>
      </c>
      <c r="BZ80" s="14">
        <v>0</v>
      </c>
      <c r="CA80" s="14">
        <v>659</v>
      </c>
      <c r="CB80" s="14">
        <v>47197</v>
      </c>
      <c r="CC80" s="14">
        <v>37989</v>
      </c>
      <c r="CD80" s="14">
        <v>6769</v>
      </c>
      <c r="CE80" s="14">
        <v>2308</v>
      </c>
      <c r="CF80" s="14">
        <v>591</v>
      </c>
      <c r="CG80" s="14">
        <v>61</v>
      </c>
      <c r="CH80" s="14">
        <v>33</v>
      </c>
      <c r="CI80" s="14">
        <v>105</v>
      </c>
      <c r="CJ80" s="14">
        <f t="shared" si="22"/>
        <v>790</v>
      </c>
      <c r="CK80" s="14">
        <v>24228</v>
      </c>
      <c r="CL80" s="14">
        <v>23628</v>
      </c>
      <c r="CM80" s="14">
        <v>23744</v>
      </c>
      <c r="CN80" s="11">
        <f t="shared" si="23"/>
        <v>0.49615513206285522</v>
      </c>
      <c r="CO80" s="14">
        <v>24112</v>
      </c>
      <c r="CP80" s="11">
        <f t="shared" si="24"/>
        <v>0.50384486793714478</v>
      </c>
      <c r="CQ80" s="29">
        <v>1928</v>
      </c>
      <c r="CR80" s="29">
        <v>22127</v>
      </c>
      <c r="CS80" s="29">
        <v>14153</v>
      </c>
      <c r="CT80" s="29">
        <v>9323</v>
      </c>
      <c r="CU80" s="45">
        <v>12138</v>
      </c>
      <c r="CV80" s="45">
        <v>4213</v>
      </c>
      <c r="CW80" s="45">
        <v>5053</v>
      </c>
      <c r="CX80" s="45">
        <v>1894</v>
      </c>
      <c r="CY80" s="45">
        <v>978</v>
      </c>
      <c r="CZ80" s="45">
        <v>92</v>
      </c>
      <c r="DA80" s="45">
        <v>92</v>
      </c>
      <c r="DB80" s="45">
        <v>91</v>
      </c>
      <c r="DC80" s="45">
        <v>81</v>
      </c>
    </row>
    <row r="81" spans="1:107" x14ac:dyDescent="0.35">
      <c r="A81" s="1" t="s">
        <v>558</v>
      </c>
      <c r="B81" s="5" t="s">
        <v>0</v>
      </c>
      <c r="C81" s="3" t="s">
        <v>572</v>
      </c>
      <c r="D81" s="4" t="s">
        <v>573</v>
      </c>
      <c r="E81" s="5">
        <v>3</v>
      </c>
      <c r="F81" s="5">
        <v>39</v>
      </c>
      <c r="G81" s="2">
        <v>0.76064425023979543</v>
      </c>
      <c r="H81" s="2" t="s">
        <v>1276</v>
      </c>
      <c r="I81" s="17" t="s">
        <v>121</v>
      </c>
      <c r="J8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CHOW YU HUI </v>
      </c>
      <c r="K81" s="8">
        <v>16939</v>
      </c>
      <c r="L81" s="8" t="s">
        <v>77</v>
      </c>
      <c r="M81" s="7" t="s">
        <v>575</v>
      </c>
      <c r="N81" s="8">
        <v>21613</v>
      </c>
      <c r="O81" s="8" t="s">
        <v>102</v>
      </c>
      <c r="P81" s="7" t="s">
        <v>574</v>
      </c>
      <c r="Q81" s="8">
        <v>17256</v>
      </c>
      <c r="R81" s="8" t="s">
        <v>25</v>
      </c>
      <c r="S81" s="7" t="s">
        <v>576</v>
      </c>
      <c r="T81" s="10">
        <v>4357</v>
      </c>
      <c r="U81" s="10">
        <v>0</v>
      </c>
      <c r="V81" s="10">
        <v>1</v>
      </c>
      <c r="W81" s="10">
        <v>0</v>
      </c>
      <c r="X81" s="10">
        <v>27339</v>
      </c>
      <c r="Y81" s="12" t="s">
        <v>319</v>
      </c>
      <c r="Z81" s="12" t="s">
        <v>1277</v>
      </c>
      <c r="AA81" s="13" t="s">
        <v>577</v>
      </c>
      <c r="AB81" s="14">
        <v>3159</v>
      </c>
      <c r="AC81" s="15" t="s">
        <v>209</v>
      </c>
      <c r="AD81" s="16">
        <v>29440</v>
      </c>
      <c r="AE81" s="14">
        <v>17500</v>
      </c>
      <c r="AF81" s="14">
        <v>7866</v>
      </c>
      <c r="AG81" s="14">
        <v>20659</v>
      </c>
      <c r="AH81" s="14" t="s">
        <v>82</v>
      </c>
      <c r="AI81" s="15" t="s">
        <v>321</v>
      </c>
      <c r="AJ81" s="14">
        <v>0</v>
      </c>
      <c r="AK81" s="14">
        <v>1</v>
      </c>
      <c r="AL81" s="14">
        <v>0</v>
      </c>
      <c r="AM81" s="51">
        <v>57723</v>
      </c>
      <c r="AN81" s="51">
        <v>30056</v>
      </c>
      <c r="AO81" s="51">
        <v>21999</v>
      </c>
      <c r="AP81" s="51">
        <v>3593</v>
      </c>
      <c r="AQ81" s="51">
        <v>137</v>
      </c>
      <c r="AR81" s="51">
        <v>36</v>
      </c>
      <c r="AS81" s="51">
        <v>27</v>
      </c>
      <c r="AT81" s="51">
        <v>1875</v>
      </c>
      <c r="AU81" s="51">
        <v>29242</v>
      </c>
      <c r="AV81" s="51">
        <v>28481</v>
      </c>
      <c r="AW81" s="51">
        <v>21993</v>
      </c>
      <c r="AX81" s="51">
        <v>35730</v>
      </c>
      <c r="AY81" s="14">
        <v>18726.333333333332</v>
      </c>
      <c r="AZ81" s="14">
        <v>75064</v>
      </c>
      <c r="BA81" s="14">
        <v>6</v>
      </c>
      <c r="BB81" s="14">
        <v>377</v>
      </c>
      <c r="BC81" s="14">
        <v>74681</v>
      </c>
      <c r="BD81" s="14">
        <v>39416</v>
      </c>
      <c r="BE81" s="11">
        <f>Table14[[#This Row],[Melayu_Voters_GE15]]/Table14[[#This Row],[All_Voters_GE15]]</f>
        <v>0.52509858254289676</v>
      </c>
      <c r="BF81" s="14">
        <v>27403</v>
      </c>
      <c r="BG81" s="11">
        <f>Table14[[#This Row],[Chinese_Voters_GE15]]/Table14[[#This Row],[All_Voters_GE15]]</f>
        <v>0.36506181391878928</v>
      </c>
      <c r="BH81" s="14">
        <v>4727</v>
      </c>
      <c r="BI81" s="11">
        <f>Table14[[#This Row],[India_Voters_GE15]]/Table14[[#This Row],[All_Voters_GE15]]</f>
        <v>6.297292976659917E-2</v>
      </c>
      <c r="BJ81" s="14">
        <v>3286</v>
      </c>
      <c r="BK81" s="14">
        <v>48</v>
      </c>
      <c r="BL81" s="14">
        <v>35</v>
      </c>
      <c r="BM81" s="14">
        <v>149</v>
      </c>
      <c r="BN81" s="14">
        <f>Table14[[#This Row],[Lain_Voters_GE15]]+Table14[[#This Row],[Swak_Voters_GE15]]+Table14[[#This Row],[Sabah_Voters_GE15]]+Table14[[#This Row],[OA_Voters_GE15]]</f>
        <v>3518</v>
      </c>
      <c r="BO81" s="11">
        <f>Table14[[#This Row],[Base_Stock_GE15]]/Table14[[#This Row],[All_Voters_GE15]]</f>
        <v>0.36420920814238517</v>
      </c>
      <c r="BP81" s="14">
        <v>20936</v>
      </c>
      <c r="BQ81" s="10">
        <v>20882</v>
      </c>
      <c r="BR81" s="44">
        <v>11124</v>
      </c>
      <c r="BS81" s="10">
        <v>3577</v>
      </c>
      <c r="BT81" s="10">
        <v>33322</v>
      </c>
      <c r="BU81" s="10">
        <v>23008</v>
      </c>
      <c r="BV81" s="10">
        <v>15157</v>
      </c>
      <c r="BW81" s="10">
        <f t="shared" si="20"/>
        <v>36899</v>
      </c>
      <c r="BX81" s="10">
        <f t="shared" si="21"/>
        <v>38165</v>
      </c>
      <c r="BY81" s="14">
        <v>75775</v>
      </c>
      <c r="BZ81" s="14">
        <v>0</v>
      </c>
      <c r="CA81" s="14">
        <v>347</v>
      </c>
      <c r="CB81" s="14">
        <v>75428</v>
      </c>
      <c r="CC81" s="14">
        <v>40275</v>
      </c>
      <c r="CD81" s="14">
        <v>26956</v>
      </c>
      <c r="CE81" s="14">
        <v>4734</v>
      </c>
      <c r="CF81" s="14">
        <v>3541</v>
      </c>
      <c r="CG81" s="14">
        <v>53</v>
      </c>
      <c r="CH81" s="14">
        <v>41</v>
      </c>
      <c r="CI81" s="14">
        <v>175</v>
      </c>
      <c r="CJ81" s="14">
        <f t="shared" si="22"/>
        <v>3810</v>
      </c>
      <c r="CK81" s="14">
        <v>38322</v>
      </c>
      <c r="CL81" s="14">
        <v>37453</v>
      </c>
      <c r="CM81" s="14">
        <v>34189</v>
      </c>
      <c r="CN81" s="11">
        <f t="shared" si="23"/>
        <v>0.4511910260640053</v>
      </c>
      <c r="CO81" s="14">
        <v>41586</v>
      </c>
      <c r="CP81" s="11">
        <f t="shared" si="24"/>
        <v>0.5488089739359947</v>
      </c>
      <c r="CQ81" s="29">
        <v>2670</v>
      </c>
      <c r="CR81" s="29">
        <v>32160</v>
      </c>
      <c r="CS81" s="29">
        <v>23924</v>
      </c>
      <c r="CT81" s="29">
        <v>16688</v>
      </c>
      <c r="CU81" s="45">
        <v>11459</v>
      </c>
      <c r="CV81" s="45">
        <v>4267</v>
      </c>
      <c r="CW81" s="45">
        <v>5294</v>
      </c>
      <c r="CX81" s="45">
        <v>1233</v>
      </c>
      <c r="CY81" s="45">
        <v>665</v>
      </c>
      <c r="CZ81" s="45">
        <v>62</v>
      </c>
      <c r="DA81" s="45">
        <v>62</v>
      </c>
      <c r="DB81" s="45">
        <v>61</v>
      </c>
      <c r="DC81" s="45">
        <v>53</v>
      </c>
    </row>
    <row r="82" spans="1:107" x14ac:dyDescent="0.35">
      <c r="A82" s="1" t="s">
        <v>558</v>
      </c>
      <c r="B82" s="5" t="s">
        <v>0</v>
      </c>
      <c r="C82" s="3" t="s">
        <v>578</v>
      </c>
      <c r="D82" s="4" t="s">
        <v>579</v>
      </c>
      <c r="E82" s="5">
        <v>3</v>
      </c>
      <c r="F82" s="5">
        <v>54</v>
      </c>
      <c r="G82" s="2">
        <v>0.77855509988397609</v>
      </c>
      <c r="H82" s="2" t="s">
        <v>1276</v>
      </c>
      <c r="I82" s="9" t="s">
        <v>13</v>
      </c>
      <c r="J8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IR. HAJI KHAIRIL </v>
      </c>
      <c r="K82" s="8">
        <v>23609</v>
      </c>
      <c r="L82" s="8" t="s">
        <v>8</v>
      </c>
      <c r="M82" s="7" t="s">
        <v>581</v>
      </c>
      <c r="N82" s="8">
        <v>11444</v>
      </c>
      <c r="O82" s="8" t="s">
        <v>23</v>
      </c>
      <c r="P82" s="7" t="s">
        <v>582</v>
      </c>
      <c r="Q82" s="8">
        <v>31701</v>
      </c>
      <c r="R82" s="8" t="s">
        <v>12</v>
      </c>
      <c r="S82" s="7" t="s">
        <v>580</v>
      </c>
      <c r="T82" s="10">
        <v>8092</v>
      </c>
      <c r="U82" s="10">
        <v>0</v>
      </c>
      <c r="V82" s="10">
        <v>0</v>
      </c>
      <c r="W82" s="10">
        <v>1</v>
      </c>
      <c r="X82" s="10">
        <v>42294</v>
      </c>
      <c r="Y82" s="12" t="s">
        <v>14</v>
      </c>
      <c r="Z82" s="12" t="s">
        <v>1277</v>
      </c>
      <c r="AA82" s="13" t="s">
        <v>583</v>
      </c>
      <c r="AB82" s="14">
        <v>5908</v>
      </c>
      <c r="AC82" s="15" t="s">
        <v>584</v>
      </c>
      <c r="AD82" s="16">
        <v>32767</v>
      </c>
      <c r="AE82" s="14">
        <v>22640</v>
      </c>
      <c r="AF82" s="14">
        <v>16732</v>
      </c>
      <c r="AG82" s="14">
        <v>10877</v>
      </c>
      <c r="AH82" s="14" t="s">
        <v>17</v>
      </c>
      <c r="AI82" s="15" t="s">
        <v>18</v>
      </c>
      <c r="AJ82" s="14">
        <v>1</v>
      </c>
      <c r="AK82" s="14">
        <v>0</v>
      </c>
      <c r="AL82" s="14">
        <v>0</v>
      </c>
      <c r="AM82" s="51">
        <v>63609</v>
      </c>
      <c r="AN82" s="51">
        <v>52007</v>
      </c>
      <c r="AO82" s="51">
        <v>8282</v>
      </c>
      <c r="AP82" s="51">
        <v>1693</v>
      </c>
      <c r="AQ82" s="51">
        <v>128</v>
      </c>
      <c r="AR82" s="51">
        <v>43</v>
      </c>
      <c r="AS82" s="51">
        <v>28</v>
      </c>
      <c r="AT82" s="51">
        <v>1428</v>
      </c>
      <c r="AU82" s="51">
        <v>31878</v>
      </c>
      <c r="AV82" s="51">
        <v>31731</v>
      </c>
      <c r="AW82" s="51">
        <v>27474</v>
      </c>
      <c r="AX82" s="51">
        <v>36135</v>
      </c>
      <c r="AY82" s="14">
        <v>22909</v>
      </c>
      <c r="AZ82" s="14">
        <v>87051</v>
      </c>
      <c r="BA82" s="14">
        <v>6</v>
      </c>
      <c r="BB82" s="14">
        <v>355</v>
      </c>
      <c r="BC82" s="14">
        <v>86690</v>
      </c>
      <c r="BD82" s="14">
        <v>72066</v>
      </c>
      <c r="BE82" s="11">
        <f>Table14[[#This Row],[Melayu_Voters_GE15]]/Table14[[#This Row],[All_Voters_GE15]]</f>
        <v>0.82785953061998141</v>
      </c>
      <c r="BF82" s="14">
        <v>10232</v>
      </c>
      <c r="BG82" s="11">
        <f>Table14[[#This Row],[Chinese_Voters_GE15]]/Table14[[#This Row],[All_Voters_GE15]]</f>
        <v>0.11754029247222893</v>
      </c>
      <c r="BH82" s="14">
        <v>2168</v>
      </c>
      <c r="BI82" s="11">
        <f>Table14[[#This Row],[India_Voters_GE15]]/Table14[[#This Row],[All_Voters_GE15]]</f>
        <v>2.490494078184053E-2</v>
      </c>
      <c r="BJ82" s="14">
        <v>2340</v>
      </c>
      <c r="BK82" s="14">
        <v>81</v>
      </c>
      <c r="BL82" s="14">
        <v>53</v>
      </c>
      <c r="BM82" s="14">
        <v>111</v>
      </c>
      <c r="BN82" s="14">
        <f>Table14[[#This Row],[Lain_Voters_GE15]]+Table14[[#This Row],[Swak_Voters_GE15]]+Table14[[#This Row],[Sabah_Voters_GE15]]+Table14[[#This Row],[OA_Voters_GE15]]</f>
        <v>2585</v>
      </c>
      <c r="BO82" s="11">
        <f>Table14[[#This Row],[Base_Stock_GE15]]/Table14[[#This Row],[All_Voters_GE15]]</f>
        <v>0.48585312058448493</v>
      </c>
      <c r="BP82" s="14">
        <v>31121</v>
      </c>
      <c r="BQ82" s="10">
        <v>27189</v>
      </c>
      <c r="BR82" s="44">
        <v>15085</v>
      </c>
      <c r="BS82" s="10">
        <v>5031</v>
      </c>
      <c r="BT82" s="10">
        <v>42075</v>
      </c>
      <c r="BU82" s="10">
        <v>26326</v>
      </c>
      <c r="BV82" s="10">
        <v>13619</v>
      </c>
      <c r="BW82" s="10">
        <f t="shared" si="20"/>
        <v>47106</v>
      </c>
      <c r="BX82" s="10">
        <f t="shared" si="21"/>
        <v>39945</v>
      </c>
      <c r="BY82" s="14">
        <v>88583</v>
      </c>
      <c r="BZ82" s="14">
        <v>0</v>
      </c>
      <c r="CA82" s="14">
        <v>283</v>
      </c>
      <c r="CB82" s="14">
        <v>88300</v>
      </c>
      <c r="CC82" s="14">
        <v>73268</v>
      </c>
      <c r="CD82" s="14">
        <v>10263</v>
      </c>
      <c r="CE82" s="14">
        <v>2197</v>
      </c>
      <c r="CF82" s="14">
        <v>2553</v>
      </c>
      <c r="CG82" s="14">
        <v>93</v>
      </c>
      <c r="CH82" s="14">
        <v>59</v>
      </c>
      <c r="CI82" s="14">
        <v>150</v>
      </c>
      <c r="CJ82" s="14">
        <f t="shared" si="22"/>
        <v>2855</v>
      </c>
      <c r="CK82" s="14">
        <v>44312</v>
      </c>
      <c r="CL82" s="14">
        <v>44271</v>
      </c>
      <c r="CM82" s="14">
        <v>43767</v>
      </c>
      <c r="CN82" s="11">
        <f t="shared" si="23"/>
        <v>0.49407899935653565</v>
      </c>
      <c r="CO82" s="14">
        <v>44816</v>
      </c>
      <c r="CP82" s="11">
        <f t="shared" si="24"/>
        <v>0.50592100064346435</v>
      </c>
      <c r="CQ82" s="29">
        <v>3957</v>
      </c>
      <c r="CR82" s="29">
        <v>41019</v>
      </c>
      <c r="CS82" s="29">
        <v>29070</v>
      </c>
      <c r="CT82" s="29">
        <v>14592</v>
      </c>
      <c r="CU82" s="45">
        <v>18799</v>
      </c>
      <c r="CV82" s="45">
        <v>6934</v>
      </c>
      <c r="CW82" s="45">
        <v>8204</v>
      </c>
      <c r="CX82" s="45">
        <v>2239</v>
      </c>
      <c r="CY82" s="45">
        <v>1422</v>
      </c>
      <c r="CZ82" s="45">
        <v>109</v>
      </c>
      <c r="DA82" s="45">
        <v>109</v>
      </c>
      <c r="DB82" s="45">
        <v>107</v>
      </c>
      <c r="DC82" s="45">
        <v>98</v>
      </c>
    </row>
    <row r="83" spans="1:107" x14ac:dyDescent="0.35">
      <c r="A83" s="1" t="s">
        <v>558</v>
      </c>
      <c r="B83" s="5" t="s">
        <v>0</v>
      </c>
      <c r="C83" s="3" t="s">
        <v>585</v>
      </c>
      <c r="D83" s="4" t="s">
        <v>586</v>
      </c>
      <c r="E83" s="5">
        <v>2</v>
      </c>
      <c r="F83" s="5">
        <v>24</v>
      </c>
      <c r="G83" s="2">
        <v>0.78301769404972255</v>
      </c>
      <c r="H83" s="2" t="s">
        <v>1276</v>
      </c>
      <c r="I83" s="9" t="s">
        <v>13</v>
      </c>
      <c r="J8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SRI SAIFUDDIN ABDULLAH </v>
      </c>
      <c r="K83" s="8">
        <v>16530</v>
      </c>
      <c r="L83" s="8" t="s">
        <v>77</v>
      </c>
      <c r="M83" s="7" t="s">
        <v>588</v>
      </c>
      <c r="N83" s="8">
        <v>33293</v>
      </c>
      <c r="O83" s="8" t="s">
        <v>23</v>
      </c>
      <c r="P83" s="7" t="s">
        <v>589</v>
      </c>
      <c r="Q83" s="8">
        <v>41692</v>
      </c>
      <c r="R83" s="8" t="s">
        <v>25</v>
      </c>
      <c r="S83" s="7" t="s">
        <v>587</v>
      </c>
      <c r="T83" s="10">
        <v>8399</v>
      </c>
      <c r="U83" s="10">
        <v>0</v>
      </c>
      <c r="V83" s="10">
        <v>0</v>
      </c>
      <c r="W83" s="10">
        <v>1</v>
      </c>
      <c r="X83" s="10">
        <v>38177</v>
      </c>
      <c r="Y83" s="12" t="s">
        <v>26</v>
      </c>
      <c r="Z83" s="12" t="s">
        <v>1277</v>
      </c>
      <c r="AA83" s="13" t="s">
        <v>590</v>
      </c>
      <c r="AB83" s="14">
        <v>10950</v>
      </c>
      <c r="AC83" s="15" t="s">
        <v>105</v>
      </c>
      <c r="AD83" s="16">
        <v>33131</v>
      </c>
      <c r="AE83" s="14">
        <v>17628</v>
      </c>
      <c r="AF83" s="14">
        <v>17515</v>
      </c>
      <c r="AG83" s="14">
        <v>28578</v>
      </c>
      <c r="AH83" s="14" t="s">
        <v>17</v>
      </c>
      <c r="AI83" s="15" t="s">
        <v>29</v>
      </c>
      <c r="AJ83" s="14">
        <v>0</v>
      </c>
      <c r="AK83" s="14">
        <v>1</v>
      </c>
      <c r="AL83" s="14">
        <v>0</v>
      </c>
      <c r="AM83" s="51">
        <v>77208</v>
      </c>
      <c r="AN83" s="51">
        <v>51446</v>
      </c>
      <c r="AO83" s="51">
        <v>20765</v>
      </c>
      <c r="AP83" s="51">
        <v>4428</v>
      </c>
      <c r="AQ83" s="51">
        <v>214</v>
      </c>
      <c r="AR83" s="51">
        <v>226</v>
      </c>
      <c r="AS83" s="51">
        <v>98</v>
      </c>
      <c r="AT83" s="51">
        <v>31</v>
      </c>
      <c r="AU83" s="51">
        <v>38219</v>
      </c>
      <c r="AV83" s="51">
        <v>38989</v>
      </c>
      <c r="AW83" s="51">
        <v>35082</v>
      </c>
      <c r="AX83" s="51">
        <v>42126</v>
      </c>
      <c r="AY83" s="14">
        <v>19828.333333333332</v>
      </c>
      <c r="AZ83" s="14">
        <v>120549</v>
      </c>
      <c r="BA83" s="14">
        <v>16</v>
      </c>
      <c r="BB83" s="14">
        <v>2002</v>
      </c>
      <c r="BC83" s="14">
        <v>118531</v>
      </c>
      <c r="BD83" s="14">
        <v>81989</v>
      </c>
      <c r="BE83" s="11">
        <f>Table14[[#This Row],[Melayu_Voters_GE15]]/Table14[[#This Row],[All_Voters_GE15]]</f>
        <v>0.68013007158914629</v>
      </c>
      <c r="BF83" s="14">
        <v>30537</v>
      </c>
      <c r="BG83" s="11">
        <f>Table14[[#This Row],[Chinese_Voters_GE15]]/Table14[[#This Row],[All_Voters_GE15]]</f>
        <v>0.25331607893885472</v>
      </c>
      <c r="BH83" s="14">
        <v>6777</v>
      </c>
      <c r="BI83" s="11">
        <f>Table14[[#This Row],[India_Voters_GE15]]/Table14[[#This Row],[All_Voters_GE15]]</f>
        <v>5.6217803548764406E-2</v>
      </c>
      <c r="BJ83" s="14">
        <v>112</v>
      </c>
      <c r="BK83" s="14">
        <v>474</v>
      </c>
      <c r="BL83" s="14">
        <v>275</v>
      </c>
      <c r="BM83" s="14">
        <v>385</v>
      </c>
      <c r="BN83" s="14">
        <f>Table14[[#This Row],[Lain_Voters_GE15]]+Table14[[#This Row],[Swak_Voters_GE15]]+Table14[[#This Row],[Sabah_Voters_GE15]]+Table14[[#This Row],[OA_Voters_GE15]]</f>
        <v>1246</v>
      </c>
      <c r="BO83" s="11">
        <f>Table14[[#This Row],[Base_Stock_GE15]]/Table14[[#This Row],[All_Voters_GE15]]</f>
        <v>0.31669279711984338</v>
      </c>
      <c r="BP83" s="14">
        <v>27116</v>
      </c>
      <c r="BQ83" s="10">
        <v>46290</v>
      </c>
      <c r="BR83" s="44">
        <v>27005</v>
      </c>
      <c r="BS83" s="10">
        <v>9264</v>
      </c>
      <c r="BT83" s="10">
        <v>62026</v>
      </c>
      <c r="BU83" s="10">
        <v>33950</v>
      </c>
      <c r="BV83" s="10">
        <v>15309</v>
      </c>
      <c r="BW83" s="10">
        <f t="shared" si="20"/>
        <v>71290</v>
      </c>
      <c r="BX83" s="10">
        <f t="shared" si="21"/>
        <v>49259</v>
      </c>
      <c r="BY83" s="14">
        <v>128616</v>
      </c>
      <c r="BZ83" s="14">
        <v>0</v>
      </c>
      <c r="CA83" s="14">
        <v>2064</v>
      </c>
      <c r="CB83" s="14">
        <v>126552</v>
      </c>
      <c r="CC83" s="14">
        <v>88869</v>
      </c>
      <c r="CD83" s="14">
        <v>31413</v>
      </c>
      <c r="CE83" s="14">
        <v>6938</v>
      </c>
      <c r="CF83" s="14">
        <v>125</v>
      </c>
      <c r="CG83" s="14">
        <v>522</v>
      </c>
      <c r="CH83" s="14">
        <v>293</v>
      </c>
      <c r="CI83" s="14">
        <v>456</v>
      </c>
      <c r="CJ83" s="14">
        <f t="shared" si="22"/>
        <v>1396</v>
      </c>
      <c r="CK83" s="14">
        <v>64208</v>
      </c>
      <c r="CL83" s="14">
        <v>64408</v>
      </c>
      <c r="CM83" s="14">
        <v>72273</v>
      </c>
      <c r="CN83" s="11">
        <f t="shared" si="23"/>
        <v>0.56192853144243327</v>
      </c>
      <c r="CO83" s="14">
        <v>56343</v>
      </c>
      <c r="CP83" s="11">
        <f t="shared" si="24"/>
        <v>0.43807146855756673</v>
      </c>
      <c r="CQ83" s="29">
        <v>7375</v>
      </c>
      <c r="CR83" s="29">
        <v>64475</v>
      </c>
      <c r="CS83" s="29">
        <v>36259</v>
      </c>
      <c r="CT83" s="29">
        <v>18215</v>
      </c>
      <c r="CU83" s="45">
        <v>13114</v>
      </c>
      <c r="CV83" s="45">
        <v>4523</v>
      </c>
      <c r="CW83" s="45">
        <v>5604</v>
      </c>
      <c r="CX83" s="45">
        <v>2129</v>
      </c>
      <c r="CY83" s="45">
        <v>858</v>
      </c>
      <c r="CZ83" s="45">
        <v>86</v>
      </c>
      <c r="DA83" s="45">
        <v>85</v>
      </c>
      <c r="DB83" s="45">
        <v>83</v>
      </c>
      <c r="DC83" s="45">
        <v>80</v>
      </c>
    </row>
    <row r="84" spans="1:107" x14ac:dyDescent="0.35">
      <c r="A84" s="1" t="s">
        <v>558</v>
      </c>
      <c r="B84" s="5" t="s">
        <v>0</v>
      </c>
      <c r="C84" s="3" t="s">
        <v>591</v>
      </c>
      <c r="D84" s="4" t="s">
        <v>592</v>
      </c>
      <c r="E84" s="5">
        <v>3</v>
      </c>
      <c r="F84" s="5">
        <v>25</v>
      </c>
      <c r="G84" s="2">
        <v>0.78216148954872888</v>
      </c>
      <c r="H84" s="2" t="s">
        <v>1276</v>
      </c>
      <c r="I84" s="9" t="s">
        <v>13</v>
      </c>
      <c r="J8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WAN RAZALI WAN NOR </v>
      </c>
      <c r="K84" s="8">
        <v>19114</v>
      </c>
      <c r="L84" s="8" t="s">
        <v>8</v>
      </c>
      <c r="M84" s="7" t="s">
        <v>594</v>
      </c>
      <c r="N84" s="8">
        <v>22648</v>
      </c>
      <c r="O84" s="8" t="s">
        <v>23</v>
      </c>
      <c r="P84" s="7" t="s">
        <v>595</v>
      </c>
      <c r="Q84" s="8">
        <v>25514</v>
      </c>
      <c r="R84" s="8" t="s">
        <v>12</v>
      </c>
      <c r="S84" s="7" t="s">
        <v>593</v>
      </c>
      <c r="T84" s="10">
        <v>2866</v>
      </c>
      <c r="U84" s="10">
        <v>0</v>
      </c>
      <c r="V84" s="10">
        <v>0</v>
      </c>
      <c r="W84" s="10">
        <v>1</v>
      </c>
      <c r="X84" s="10">
        <v>26399</v>
      </c>
      <c r="Y84" s="12" t="s">
        <v>26</v>
      </c>
      <c r="Z84" s="12" t="s">
        <v>1277</v>
      </c>
      <c r="AA84" s="13" t="s">
        <v>596</v>
      </c>
      <c r="AB84" s="14">
        <v>8111</v>
      </c>
      <c r="AC84" s="15" t="s">
        <v>59</v>
      </c>
      <c r="AD84" s="16">
        <v>23437</v>
      </c>
      <c r="AE84" s="14">
        <v>13667</v>
      </c>
      <c r="AF84" s="14">
        <v>14696</v>
      </c>
      <c r="AG84" s="14">
        <v>22807</v>
      </c>
      <c r="AH84" s="14" t="s">
        <v>82</v>
      </c>
      <c r="AI84" s="15" t="s">
        <v>29</v>
      </c>
      <c r="AJ84" s="14">
        <v>0</v>
      </c>
      <c r="AK84" s="14">
        <v>1</v>
      </c>
      <c r="AL84" s="14">
        <v>0</v>
      </c>
      <c r="AM84" s="51">
        <v>62696</v>
      </c>
      <c r="AN84" s="51">
        <v>41613</v>
      </c>
      <c r="AO84" s="51">
        <v>18544</v>
      </c>
      <c r="AP84" s="51">
        <v>2131</v>
      </c>
      <c r="AQ84" s="51">
        <v>161</v>
      </c>
      <c r="AR84" s="51">
        <v>85</v>
      </c>
      <c r="AS84" s="51">
        <v>55</v>
      </c>
      <c r="AT84" s="51">
        <v>107</v>
      </c>
      <c r="AU84" s="51">
        <v>31259</v>
      </c>
      <c r="AV84" s="51">
        <v>31437</v>
      </c>
      <c r="AW84" s="51">
        <v>23889</v>
      </c>
      <c r="AX84" s="51">
        <v>38807</v>
      </c>
      <c r="AY84" s="14">
        <v>17186</v>
      </c>
      <c r="AZ84" s="14">
        <v>87597</v>
      </c>
      <c r="BA84" s="14">
        <v>13</v>
      </c>
      <c r="BB84" s="14">
        <v>1560</v>
      </c>
      <c r="BC84" s="14">
        <v>86024</v>
      </c>
      <c r="BD84" s="14">
        <v>61201</v>
      </c>
      <c r="BE84" s="11">
        <f>Table14[[#This Row],[Melayu_Voters_GE15]]/Table14[[#This Row],[All_Voters_GE15]]</f>
        <v>0.69866547941139534</v>
      </c>
      <c r="BF84" s="14">
        <v>22871</v>
      </c>
      <c r="BG84" s="11">
        <f>Table14[[#This Row],[Chinese_Voters_GE15]]/Table14[[#This Row],[All_Voters_GE15]]</f>
        <v>0.26109341644120232</v>
      </c>
      <c r="BH84" s="14">
        <v>2875</v>
      </c>
      <c r="BI84" s="11">
        <f>Table14[[#This Row],[India_Voters_GE15]]/Table14[[#This Row],[All_Voters_GE15]]</f>
        <v>3.2820758701782027E-2</v>
      </c>
      <c r="BJ84" s="14">
        <v>199</v>
      </c>
      <c r="BK84" s="14">
        <v>142</v>
      </c>
      <c r="BL84" s="14">
        <v>103</v>
      </c>
      <c r="BM84" s="14">
        <v>206</v>
      </c>
      <c r="BN84" s="14">
        <f>Table14[[#This Row],[Lain_Voters_GE15]]+Table14[[#This Row],[Swak_Voters_GE15]]+Table14[[#This Row],[Sabah_Voters_GE15]]+Table14[[#This Row],[OA_Voters_GE15]]</f>
        <v>650</v>
      </c>
      <c r="BO84" s="11">
        <f>Table14[[#This Row],[Base_Stock_GE15]]/Table14[[#This Row],[All_Voters_GE15]]</f>
        <v>0.3013687683368152</v>
      </c>
      <c r="BP84" s="14">
        <v>20022</v>
      </c>
      <c r="BQ84" s="10">
        <v>27923</v>
      </c>
      <c r="BR84" s="44">
        <v>15705</v>
      </c>
      <c r="BS84" s="10">
        <v>5144</v>
      </c>
      <c r="BT84" s="10">
        <v>39879</v>
      </c>
      <c r="BU84" s="10">
        <v>26422</v>
      </c>
      <c r="BV84" s="10">
        <v>16152</v>
      </c>
      <c r="BW84" s="10">
        <f t="shared" ref="BW84:BW99" si="25">BS84+BT84</f>
        <v>45023</v>
      </c>
      <c r="BX84" s="10">
        <f t="shared" ref="BX84:BX99" si="26">BU84+BV84</f>
        <v>42574</v>
      </c>
      <c r="BY84" s="14">
        <v>90694</v>
      </c>
      <c r="BZ84" s="14">
        <v>0</v>
      </c>
      <c r="CA84" s="14">
        <v>1618</v>
      </c>
      <c r="CB84" s="14">
        <v>89076</v>
      </c>
      <c r="CC84" s="14">
        <v>64714</v>
      </c>
      <c r="CD84" s="14">
        <v>22486</v>
      </c>
      <c r="CE84" s="14">
        <v>2788</v>
      </c>
      <c r="CF84" s="14">
        <v>211</v>
      </c>
      <c r="CG84" s="14">
        <v>158</v>
      </c>
      <c r="CH84" s="14">
        <v>111</v>
      </c>
      <c r="CI84" s="14">
        <v>226</v>
      </c>
      <c r="CJ84" s="14">
        <f t="shared" ref="CJ84:CJ99" si="27">SUM(CF84:CI84)</f>
        <v>706</v>
      </c>
      <c r="CK84" s="14">
        <v>45692</v>
      </c>
      <c r="CL84" s="14">
        <v>45002</v>
      </c>
      <c r="CM84" s="14">
        <v>43945</v>
      </c>
      <c r="CN84" s="11">
        <f t="shared" ref="CN84:CN99" si="28">CM84/$BY84</f>
        <v>0.48454142501157738</v>
      </c>
      <c r="CO84" s="14">
        <v>46749</v>
      </c>
      <c r="CP84" s="11">
        <f t="shared" ref="CP84:CP99" si="29">CO84/$BY84</f>
        <v>0.51545857498842262</v>
      </c>
      <c r="CQ84" s="29">
        <v>3868</v>
      </c>
      <c r="CR84" s="29">
        <v>40352</v>
      </c>
      <c r="CS84" s="29">
        <v>27322</v>
      </c>
      <c r="CT84" s="29">
        <v>18230</v>
      </c>
      <c r="CU84" s="45">
        <v>10078</v>
      </c>
      <c r="CV84" s="45">
        <v>3320</v>
      </c>
      <c r="CW84" s="45">
        <v>4176</v>
      </c>
      <c r="CX84" s="45">
        <v>1674</v>
      </c>
      <c r="CY84" s="45">
        <v>908</v>
      </c>
      <c r="CZ84" s="45">
        <v>66</v>
      </c>
      <c r="DA84" s="45">
        <v>66</v>
      </c>
      <c r="DB84" s="45">
        <v>63</v>
      </c>
      <c r="DC84" s="45">
        <v>59</v>
      </c>
    </row>
    <row r="85" spans="1:107" x14ac:dyDescent="0.35">
      <c r="A85" s="1" t="s">
        <v>558</v>
      </c>
      <c r="B85" s="5" t="s">
        <v>0</v>
      </c>
      <c r="C85" s="3" t="s">
        <v>597</v>
      </c>
      <c r="D85" s="4" t="s">
        <v>598</v>
      </c>
      <c r="E85" s="5">
        <v>3</v>
      </c>
      <c r="F85" s="5">
        <v>24</v>
      </c>
      <c r="G85" s="2">
        <v>0.7871313202247191</v>
      </c>
      <c r="H85" s="2" t="s">
        <v>1276</v>
      </c>
      <c r="I85" s="21" t="s">
        <v>403</v>
      </c>
      <c r="J8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INDERA MOHD SHAHAR BIN ABDULLAH </v>
      </c>
      <c r="K85" s="8">
        <v>26899</v>
      </c>
      <c r="L85" s="8" t="s">
        <v>8</v>
      </c>
      <c r="M85" s="7" t="s">
        <v>599</v>
      </c>
      <c r="N85" s="8">
        <v>9192</v>
      </c>
      <c r="O85" s="8" t="s">
        <v>10</v>
      </c>
      <c r="P85" s="7" t="s">
        <v>600</v>
      </c>
      <c r="Q85" s="8">
        <v>25582</v>
      </c>
      <c r="R85" s="8" t="s">
        <v>12</v>
      </c>
      <c r="S85" s="7" t="s">
        <v>601</v>
      </c>
      <c r="T85" s="10">
        <v>1317</v>
      </c>
      <c r="U85" s="10">
        <v>1</v>
      </c>
      <c r="V85" s="10">
        <v>0</v>
      </c>
      <c r="W85" s="10">
        <v>0</v>
      </c>
      <c r="X85" s="10">
        <v>44367</v>
      </c>
      <c r="Y85" s="12" t="s">
        <v>14</v>
      </c>
      <c r="Z85" s="12" t="s">
        <v>1277</v>
      </c>
      <c r="AA85" s="13" t="s">
        <v>602</v>
      </c>
      <c r="AB85" s="14">
        <v>5742</v>
      </c>
      <c r="AC85" s="15" t="s">
        <v>603</v>
      </c>
      <c r="AD85" s="16">
        <v>34891</v>
      </c>
      <c r="AE85" s="14">
        <v>19033</v>
      </c>
      <c r="AF85" s="14">
        <v>13291</v>
      </c>
      <c r="AG85" s="14">
        <v>11776</v>
      </c>
      <c r="AH85" s="14" t="s">
        <v>17</v>
      </c>
      <c r="AI85" s="15" t="s">
        <v>18</v>
      </c>
      <c r="AJ85" s="14">
        <v>1</v>
      </c>
      <c r="AK85" s="14">
        <v>0</v>
      </c>
      <c r="AL85" s="14">
        <v>0</v>
      </c>
      <c r="AM85" s="51">
        <v>55135</v>
      </c>
      <c r="AN85" s="51">
        <v>45964</v>
      </c>
      <c r="AO85" s="51">
        <v>7088</v>
      </c>
      <c r="AP85" s="51">
        <v>1079</v>
      </c>
      <c r="AQ85" s="51">
        <v>165</v>
      </c>
      <c r="AR85" s="51">
        <v>41</v>
      </c>
      <c r="AS85" s="51">
        <v>26</v>
      </c>
      <c r="AT85" s="51">
        <v>772</v>
      </c>
      <c r="AU85" s="51">
        <v>27247</v>
      </c>
      <c r="AV85" s="51">
        <v>27888</v>
      </c>
      <c r="AW85" s="51">
        <v>24020</v>
      </c>
      <c r="AX85" s="51">
        <v>31115</v>
      </c>
      <c r="AY85" s="14">
        <v>20711.666666666668</v>
      </c>
      <c r="AZ85" s="14">
        <v>79744</v>
      </c>
      <c r="BA85" s="14">
        <v>10</v>
      </c>
      <c r="BB85" s="14">
        <v>98</v>
      </c>
      <c r="BC85" s="14">
        <v>79636</v>
      </c>
      <c r="BD85" s="14">
        <v>67902</v>
      </c>
      <c r="BE85" s="11">
        <f>Table14[[#This Row],[Melayu_Voters_GE15]]/Table14[[#This Row],[All_Voters_GE15]]</f>
        <v>0.8514997993579454</v>
      </c>
      <c r="BF85" s="14">
        <v>8746</v>
      </c>
      <c r="BG85" s="11">
        <f>Table14[[#This Row],[Chinese_Voters_GE15]]/Table14[[#This Row],[All_Voters_GE15]]</f>
        <v>0.10967596308186196</v>
      </c>
      <c r="BH85" s="14">
        <v>1544</v>
      </c>
      <c r="BI85" s="11">
        <f>Table14[[#This Row],[India_Voters_GE15]]/Table14[[#This Row],[All_Voters_GE15]]</f>
        <v>1.936195826645265E-2</v>
      </c>
      <c r="BJ85" s="14">
        <v>1255</v>
      </c>
      <c r="BK85" s="14">
        <v>84</v>
      </c>
      <c r="BL85" s="14">
        <v>78</v>
      </c>
      <c r="BM85" s="14">
        <v>135</v>
      </c>
      <c r="BN85" s="14">
        <f>Table14[[#This Row],[Lain_Voters_GE15]]+Table14[[#This Row],[Swak_Voters_GE15]]+Table14[[#This Row],[Sabah_Voters_GE15]]+Table14[[#This Row],[OA_Voters_GE15]]</f>
        <v>1552</v>
      </c>
      <c r="BO85" s="11">
        <f>Table14[[#This Row],[Base_Stock_GE15]]/Table14[[#This Row],[All_Voters_GE15]]</f>
        <v>0.5563678772070626</v>
      </c>
      <c r="BP85" s="14">
        <v>34586</v>
      </c>
      <c r="BQ85" s="10">
        <v>27111</v>
      </c>
      <c r="BR85" s="44">
        <v>15379</v>
      </c>
      <c r="BS85" s="10">
        <v>5201</v>
      </c>
      <c r="BT85" s="10">
        <v>39776</v>
      </c>
      <c r="BU85" s="10">
        <v>23108</v>
      </c>
      <c r="BV85" s="10">
        <v>11659</v>
      </c>
      <c r="BW85" s="10">
        <f t="shared" si="25"/>
        <v>44977</v>
      </c>
      <c r="BX85" s="10">
        <f t="shared" si="26"/>
        <v>34767</v>
      </c>
      <c r="BY85" s="14">
        <v>84336</v>
      </c>
      <c r="BZ85" s="14">
        <v>0</v>
      </c>
      <c r="CA85" s="14">
        <v>97</v>
      </c>
      <c r="CB85" s="14">
        <v>84239</v>
      </c>
      <c r="CC85" s="14">
        <v>72557</v>
      </c>
      <c r="CD85" s="14">
        <v>8473</v>
      </c>
      <c r="CE85" s="14">
        <v>1574</v>
      </c>
      <c r="CF85" s="14">
        <v>1376</v>
      </c>
      <c r="CG85" s="14">
        <v>116</v>
      </c>
      <c r="CH85" s="14">
        <v>89</v>
      </c>
      <c r="CI85" s="14">
        <v>151</v>
      </c>
      <c r="CJ85" s="14">
        <f t="shared" si="27"/>
        <v>1732</v>
      </c>
      <c r="CK85" s="14">
        <v>41809</v>
      </c>
      <c r="CL85" s="14">
        <v>42527</v>
      </c>
      <c r="CM85" s="14">
        <v>44372</v>
      </c>
      <c r="CN85" s="11">
        <f t="shared" si="28"/>
        <v>0.52613356099411879</v>
      </c>
      <c r="CO85" s="14">
        <v>39964</v>
      </c>
      <c r="CP85" s="11">
        <f t="shared" si="29"/>
        <v>0.47386643900588121</v>
      </c>
      <c r="CQ85" s="29">
        <v>4246</v>
      </c>
      <c r="CR85" s="29">
        <v>39864</v>
      </c>
      <c r="CS85" s="29">
        <v>25200</v>
      </c>
      <c r="CT85" s="29">
        <v>13245</v>
      </c>
      <c r="CU85" s="45">
        <v>14328</v>
      </c>
      <c r="CV85" s="45">
        <v>4874</v>
      </c>
      <c r="CW85" s="45">
        <v>6295</v>
      </c>
      <c r="CX85" s="45">
        <v>2026</v>
      </c>
      <c r="CY85" s="45">
        <v>1133</v>
      </c>
      <c r="CZ85" s="45">
        <v>85</v>
      </c>
      <c r="DA85" s="45">
        <v>85</v>
      </c>
      <c r="DB85" s="45">
        <v>83</v>
      </c>
      <c r="DC85" s="45">
        <v>80</v>
      </c>
    </row>
    <row r="86" spans="1:107" x14ac:dyDescent="0.35">
      <c r="A86" s="1" t="s">
        <v>558</v>
      </c>
      <c r="B86" s="5" t="s">
        <v>0</v>
      </c>
      <c r="C86" s="3" t="s">
        <v>604</v>
      </c>
      <c r="D86" s="4" t="s">
        <v>605</v>
      </c>
      <c r="E86" s="5">
        <v>4</v>
      </c>
      <c r="F86" s="5">
        <v>56</v>
      </c>
      <c r="G86" s="2">
        <v>0.79216027728707417</v>
      </c>
      <c r="H86" s="2" t="s">
        <v>1276</v>
      </c>
      <c r="I86" s="21" t="s">
        <v>403</v>
      </c>
      <c r="J8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SH MOHMED PUZI BIN SH ALI </v>
      </c>
      <c r="K86" s="8">
        <v>47418</v>
      </c>
      <c r="L86" s="8" t="s">
        <v>8</v>
      </c>
      <c r="M86" s="7" t="s">
        <v>606</v>
      </c>
      <c r="N86" s="8">
        <v>6316</v>
      </c>
      <c r="O86" s="8" t="s">
        <v>23</v>
      </c>
      <c r="P86" s="7" t="s">
        <v>607</v>
      </c>
      <c r="Q86" s="8">
        <v>38469</v>
      </c>
      <c r="R86" s="8" t="s">
        <v>12</v>
      </c>
      <c r="S86" s="7" t="s">
        <v>608</v>
      </c>
      <c r="T86" s="10">
        <v>8949</v>
      </c>
      <c r="U86" s="10">
        <v>1</v>
      </c>
      <c r="V86" s="10">
        <v>0</v>
      </c>
      <c r="W86" s="10">
        <v>0</v>
      </c>
      <c r="X86" s="10">
        <v>85304</v>
      </c>
      <c r="Y86" s="12" t="s">
        <v>14</v>
      </c>
      <c r="Z86" s="12" t="s">
        <v>1277</v>
      </c>
      <c r="AA86" s="13" t="s">
        <v>609</v>
      </c>
      <c r="AB86" s="14">
        <v>24859</v>
      </c>
      <c r="AC86" s="15" t="s">
        <v>610</v>
      </c>
      <c r="AD86" s="16">
        <v>67388</v>
      </c>
      <c r="AE86" s="14">
        <v>43854</v>
      </c>
      <c r="AF86" s="14">
        <v>18995</v>
      </c>
      <c r="AG86" s="14">
        <v>7662</v>
      </c>
      <c r="AH86" s="14" t="s">
        <v>17</v>
      </c>
      <c r="AI86" s="15" t="s">
        <v>18</v>
      </c>
      <c r="AJ86" s="14">
        <v>1</v>
      </c>
      <c r="AK86" s="14">
        <v>0</v>
      </c>
      <c r="AL86" s="14">
        <v>0</v>
      </c>
      <c r="AM86" s="51">
        <v>88899</v>
      </c>
      <c r="AN86" s="51">
        <v>78031</v>
      </c>
      <c r="AO86" s="51">
        <v>1784</v>
      </c>
      <c r="AP86" s="51">
        <v>737</v>
      </c>
      <c r="AQ86" s="51">
        <v>707</v>
      </c>
      <c r="AR86" s="51">
        <v>231</v>
      </c>
      <c r="AS86" s="51">
        <v>418</v>
      </c>
      <c r="AT86" s="51">
        <v>6991</v>
      </c>
      <c r="AU86" s="51">
        <v>44773</v>
      </c>
      <c r="AV86" s="51">
        <v>44126</v>
      </c>
      <c r="AW86" s="51">
        <v>45387</v>
      </c>
      <c r="AX86" s="51">
        <v>43512</v>
      </c>
      <c r="AY86" s="14">
        <v>43798</v>
      </c>
      <c r="AZ86" s="14">
        <v>119443</v>
      </c>
      <c r="BA86" s="14">
        <v>12</v>
      </c>
      <c r="BB86" s="14">
        <v>7066</v>
      </c>
      <c r="BC86" s="14">
        <v>112365</v>
      </c>
      <c r="BD86" s="14">
        <v>102206</v>
      </c>
      <c r="BE86" s="11">
        <f>Table14[[#This Row],[Melayu_Voters_GE15]]/Table14[[#This Row],[All_Voters_GE15]]</f>
        <v>0.8556884873956615</v>
      </c>
      <c r="BF86" s="14">
        <v>2112</v>
      </c>
      <c r="BG86" s="11">
        <f>Table14[[#This Row],[Chinese_Voters_GE15]]/Table14[[#This Row],[All_Voters_GE15]]</f>
        <v>1.7682074294851937E-2</v>
      </c>
      <c r="BH86" s="14">
        <v>860</v>
      </c>
      <c r="BI86" s="11">
        <f>Table14[[#This Row],[India_Voters_GE15]]/Table14[[#This Row],[All_Voters_GE15]]</f>
        <v>7.2000870708203912E-3</v>
      </c>
      <c r="BJ86" s="14">
        <v>11249</v>
      </c>
      <c r="BK86" s="14">
        <v>459</v>
      </c>
      <c r="BL86" s="14">
        <v>614</v>
      </c>
      <c r="BM86" s="14">
        <v>1943</v>
      </c>
      <c r="BN86" s="14">
        <f>Table14[[#This Row],[Lain_Voters_GE15]]+Table14[[#This Row],[Swak_Voters_GE15]]+Table14[[#This Row],[Sabah_Voters_GE15]]+Table14[[#This Row],[OA_Voters_GE15]]</f>
        <v>14265</v>
      </c>
      <c r="BO86" s="11">
        <f>Table14[[#This Row],[Base_Stock_GE15]]/Table14[[#This Row],[All_Voters_GE15]]</f>
        <v>0.71418165987123561</v>
      </c>
      <c r="BP86" s="14">
        <v>61811</v>
      </c>
      <c r="BQ86" s="10">
        <v>34390</v>
      </c>
      <c r="BR86" s="44">
        <v>23183</v>
      </c>
      <c r="BS86" s="10">
        <v>7591</v>
      </c>
      <c r="BT86" s="10">
        <v>63886</v>
      </c>
      <c r="BU86" s="10">
        <v>33318</v>
      </c>
      <c r="BV86" s="10">
        <v>14648</v>
      </c>
      <c r="BW86" s="10">
        <f t="shared" si="25"/>
        <v>71477</v>
      </c>
      <c r="BX86" s="10">
        <f t="shared" si="26"/>
        <v>47966</v>
      </c>
      <c r="BY86" s="14">
        <v>126557</v>
      </c>
      <c r="BZ86" s="14">
        <v>0</v>
      </c>
      <c r="CA86" s="14">
        <v>7947</v>
      </c>
      <c r="CB86" s="14">
        <v>118610</v>
      </c>
      <c r="CC86" s="14">
        <v>108027</v>
      </c>
      <c r="CD86" s="14">
        <v>2137</v>
      </c>
      <c r="CE86" s="14">
        <v>853</v>
      </c>
      <c r="CF86" s="14">
        <v>12221</v>
      </c>
      <c r="CG86" s="14">
        <v>522</v>
      </c>
      <c r="CH86" s="14">
        <v>628</v>
      </c>
      <c r="CI86" s="14">
        <v>2169</v>
      </c>
      <c r="CJ86" s="14">
        <f t="shared" si="27"/>
        <v>15540</v>
      </c>
      <c r="CK86" s="14">
        <v>64487</v>
      </c>
      <c r="CL86" s="14">
        <v>62070</v>
      </c>
      <c r="CM86" s="14">
        <v>70666</v>
      </c>
      <c r="CN86" s="11">
        <f t="shared" si="28"/>
        <v>0.55837290706954179</v>
      </c>
      <c r="CO86" s="14">
        <v>55891</v>
      </c>
      <c r="CP86" s="11">
        <f t="shared" si="29"/>
        <v>0.44162709293045821</v>
      </c>
      <c r="CQ86" s="29">
        <v>6316</v>
      </c>
      <c r="CR86" s="29">
        <v>64911</v>
      </c>
      <c r="CS86" s="29">
        <v>37242</v>
      </c>
      <c r="CT86" s="29">
        <v>16626</v>
      </c>
      <c r="CU86" s="45">
        <v>29058</v>
      </c>
      <c r="CV86" s="45">
        <v>10555</v>
      </c>
      <c r="CW86" s="45">
        <v>12747</v>
      </c>
      <c r="CX86" s="45">
        <v>3818</v>
      </c>
      <c r="CY86" s="45">
        <v>1938</v>
      </c>
      <c r="CZ86" s="45">
        <v>151</v>
      </c>
      <c r="DA86" s="45">
        <v>151</v>
      </c>
      <c r="DB86" s="45">
        <v>150</v>
      </c>
      <c r="DC86" s="45">
        <v>142</v>
      </c>
    </row>
    <row r="87" spans="1:107" x14ac:dyDescent="0.35">
      <c r="A87" s="1" t="s">
        <v>558</v>
      </c>
      <c r="B87" s="5" t="s">
        <v>0</v>
      </c>
      <c r="C87" s="3" t="s">
        <v>611</v>
      </c>
      <c r="D87" s="4" t="s">
        <v>612</v>
      </c>
      <c r="E87" s="5">
        <v>3</v>
      </c>
      <c r="F87" s="5">
        <v>33</v>
      </c>
      <c r="G87" s="2">
        <v>0.78423806655624151</v>
      </c>
      <c r="H87" s="2" t="s">
        <v>1276</v>
      </c>
      <c r="I87" s="9" t="s">
        <v>13</v>
      </c>
      <c r="J8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 SRI DR HJ ISMAIL B HJ ABD MUTTALIB </v>
      </c>
      <c r="K87" s="8">
        <v>17779</v>
      </c>
      <c r="L87" s="8" t="s">
        <v>8</v>
      </c>
      <c r="M87" s="7" t="s">
        <v>614</v>
      </c>
      <c r="N87" s="8">
        <v>3547</v>
      </c>
      <c r="O87" s="8" t="s">
        <v>10</v>
      </c>
      <c r="P87" s="7" t="s">
        <v>615</v>
      </c>
      <c r="Q87" s="8">
        <v>19600</v>
      </c>
      <c r="R87" s="8" t="s">
        <v>95</v>
      </c>
      <c r="S87" s="7" t="s">
        <v>613</v>
      </c>
      <c r="T87" s="10">
        <v>1821</v>
      </c>
      <c r="U87" s="10">
        <v>0</v>
      </c>
      <c r="V87" s="10">
        <v>0</v>
      </c>
      <c r="W87" s="10">
        <v>1</v>
      </c>
      <c r="X87" s="10">
        <v>27477</v>
      </c>
      <c r="Y87" s="12" t="s">
        <v>14</v>
      </c>
      <c r="Z87" s="12" t="s">
        <v>1277</v>
      </c>
      <c r="AA87" s="13" t="s">
        <v>616</v>
      </c>
      <c r="AB87" s="14">
        <v>3763</v>
      </c>
      <c r="AC87" s="15" t="s">
        <v>610</v>
      </c>
      <c r="AD87" s="16">
        <v>25096</v>
      </c>
      <c r="AE87" s="14">
        <v>16064</v>
      </c>
      <c r="AF87" s="14">
        <v>12301</v>
      </c>
      <c r="AG87" s="14">
        <v>4360</v>
      </c>
      <c r="AH87" s="14" t="s">
        <v>17</v>
      </c>
      <c r="AI87" s="15" t="s">
        <v>18</v>
      </c>
      <c r="AJ87" s="14">
        <v>1</v>
      </c>
      <c r="AK87" s="14">
        <v>0</v>
      </c>
      <c r="AL87" s="14">
        <v>0</v>
      </c>
      <c r="AM87" s="51">
        <v>41036</v>
      </c>
      <c r="AN87" s="51">
        <v>36993</v>
      </c>
      <c r="AO87" s="51">
        <v>2526</v>
      </c>
      <c r="AP87" s="51">
        <v>605</v>
      </c>
      <c r="AQ87" s="51">
        <v>115</v>
      </c>
      <c r="AR87" s="51">
        <v>27</v>
      </c>
      <c r="AS87" s="51">
        <v>19</v>
      </c>
      <c r="AT87" s="51">
        <v>751</v>
      </c>
      <c r="AU87" s="51">
        <v>20339</v>
      </c>
      <c r="AV87" s="51">
        <v>20697</v>
      </c>
      <c r="AW87" s="51">
        <v>16863</v>
      </c>
      <c r="AX87" s="51">
        <v>24173</v>
      </c>
      <c r="AY87" s="14">
        <v>17060.333333333332</v>
      </c>
      <c r="AZ87" s="14">
        <v>53128</v>
      </c>
      <c r="BA87" s="14">
        <v>2</v>
      </c>
      <c r="BB87" s="14">
        <v>222</v>
      </c>
      <c r="BC87" s="14">
        <v>52904</v>
      </c>
      <c r="BD87" s="14">
        <v>47928</v>
      </c>
      <c r="BE87" s="11">
        <f>Table14[[#This Row],[Melayu_Voters_GE15]]/Table14[[#This Row],[All_Voters_GE15]]</f>
        <v>0.90212317422074983</v>
      </c>
      <c r="BF87" s="14">
        <v>3083</v>
      </c>
      <c r="BG87" s="11">
        <f>Table14[[#This Row],[Chinese_Voters_GE15]]/Table14[[#This Row],[All_Voters_GE15]]</f>
        <v>5.8029664207197712E-2</v>
      </c>
      <c r="BH87" s="14">
        <v>748</v>
      </c>
      <c r="BI87" s="11">
        <f>Table14[[#This Row],[India_Voters_GE15]]/Table14[[#This Row],[All_Voters_GE15]]</f>
        <v>1.4079204939015209E-2</v>
      </c>
      <c r="BJ87" s="14">
        <v>1241</v>
      </c>
      <c r="BK87" s="14">
        <v>52</v>
      </c>
      <c r="BL87" s="14">
        <v>32</v>
      </c>
      <c r="BM87" s="14">
        <v>44</v>
      </c>
      <c r="BN87" s="14">
        <f>Table14[[#This Row],[Lain_Voters_GE15]]+Table14[[#This Row],[Swak_Voters_GE15]]+Table14[[#This Row],[Sabah_Voters_GE15]]+Table14[[#This Row],[OA_Voters_GE15]]</f>
        <v>1369</v>
      </c>
      <c r="BO87" s="11">
        <f>Table14[[#This Row],[Base_Stock_GE15]]/Table14[[#This Row],[All_Voters_GE15]]</f>
        <v>0.5171849119108568</v>
      </c>
      <c r="BP87" s="14">
        <v>21685</v>
      </c>
      <c r="BQ87" s="10">
        <v>14923</v>
      </c>
      <c r="BR87" s="44">
        <v>8746</v>
      </c>
      <c r="BS87" s="10">
        <v>2975</v>
      </c>
      <c r="BT87" s="10">
        <v>24158</v>
      </c>
      <c r="BU87" s="10">
        <v>17643</v>
      </c>
      <c r="BV87" s="10">
        <v>8352</v>
      </c>
      <c r="BW87" s="10">
        <f t="shared" si="25"/>
        <v>27133</v>
      </c>
      <c r="BX87" s="10">
        <f t="shared" si="26"/>
        <v>25995</v>
      </c>
      <c r="BY87" s="14">
        <v>54371</v>
      </c>
      <c r="BZ87" s="14">
        <v>0</v>
      </c>
      <c r="CA87" s="14">
        <v>242</v>
      </c>
      <c r="CB87" s="14">
        <v>54129</v>
      </c>
      <c r="CC87" s="14">
        <v>49141</v>
      </c>
      <c r="CD87" s="14">
        <v>2997</v>
      </c>
      <c r="CE87" s="14">
        <v>736</v>
      </c>
      <c r="CF87" s="14">
        <v>1338</v>
      </c>
      <c r="CG87" s="14">
        <v>71</v>
      </c>
      <c r="CH87" s="14">
        <v>34</v>
      </c>
      <c r="CI87" s="14">
        <v>54</v>
      </c>
      <c r="CJ87" s="14">
        <f t="shared" si="27"/>
        <v>1497</v>
      </c>
      <c r="CK87" s="14">
        <v>27181</v>
      </c>
      <c r="CL87" s="14">
        <v>27190</v>
      </c>
      <c r="CM87" s="14">
        <v>25582</v>
      </c>
      <c r="CN87" s="11">
        <f t="shared" si="28"/>
        <v>0.4705081753140461</v>
      </c>
      <c r="CO87" s="14">
        <v>28789</v>
      </c>
      <c r="CP87" s="11">
        <f t="shared" si="29"/>
        <v>0.5294918246859539</v>
      </c>
      <c r="CQ87" s="29">
        <v>2419</v>
      </c>
      <c r="CR87" s="29">
        <v>23569</v>
      </c>
      <c r="CS87" s="29">
        <v>19078</v>
      </c>
      <c r="CT87" s="29">
        <v>8925</v>
      </c>
      <c r="CU87" s="45">
        <v>16156</v>
      </c>
      <c r="CV87" s="45">
        <v>5017</v>
      </c>
      <c r="CW87" s="45">
        <v>6940</v>
      </c>
      <c r="CX87" s="45">
        <v>2512</v>
      </c>
      <c r="CY87" s="45">
        <v>1687</v>
      </c>
      <c r="CZ87" s="45">
        <v>94</v>
      </c>
      <c r="DA87" s="45">
        <v>94</v>
      </c>
      <c r="DB87" s="45">
        <v>94</v>
      </c>
      <c r="DC87" s="45">
        <v>89</v>
      </c>
    </row>
    <row r="88" spans="1:107" x14ac:dyDescent="0.35">
      <c r="A88" s="1" t="s">
        <v>558</v>
      </c>
      <c r="B88" s="5" t="s">
        <v>0</v>
      </c>
      <c r="C88" s="3" t="s">
        <v>617</v>
      </c>
      <c r="D88" s="4" t="s">
        <v>618</v>
      </c>
      <c r="E88" s="5">
        <v>3</v>
      </c>
      <c r="F88" s="5">
        <v>34</v>
      </c>
      <c r="G88" s="2">
        <v>0.80017179576126995</v>
      </c>
      <c r="H88" s="2" t="s">
        <v>1276</v>
      </c>
      <c r="I88" s="9" t="s">
        <v>13</v>
      </c>
      <c r="J8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USTAZ HAJI KAMAL BIN ASHAARI </v>
      </c>
      <c r="K88" s="8">
        <v>21481</v>
      </c>
      <c r="L88" s="8" t="s">
        <v>8</v>
      </c>
      <c r="M88" s="7" t="s">
        <v>620</v>
      </c>
      <c r="N88" s="8">
        <v>3593</v>
      </c>
      <c r="O88" s="8" t="s">
        <v>10</v>
      </c>
      <c r="P88" s="7" t="s">
        <v>621</v>
      </c>
      <c r="Q88" s="8">
        <v>22505</v>
      </c>
      <c r="R88" s="8" t="s">
        <v>12</v>
      </c>
      <c r="S88" s="7" t="s">
        <v>619</v>
      </c>
      <c r="T88" s="10">
        <v>1024</v>
      </c>
      <c r="U88" s="10">
        <v>0</v>
      </c>
      <c r="V88" s="10">
        <v>0</v>
      </c>
      <c r="W88" s="10">
        <v>1</v>
      </c>
      <c r="X88" s="10">
        <v>33828</v>
      </c>
      <c r="Y88" s="12" t="s">
        <v>14</v>
      </c>
      <c r="Z88" s="12" t="s">
        <v>1277</v>
      </c>
      <c r="AA88" s="13" t="s">
        <v>622</v>
      </c>
      <c r="AB88" s="14">
        <v>2876</v>
      </c>
      <c r="AC88" s="15" t="s">
        <v>623</v>
      </c>
      <c r="AD88" s="16">
        <v>29880</v>
      </c>
      <c r="AE88" s="14">
        <v>18058</v>
      </c>
      <c r="AF88" s="14">
        <v>15182</v>
      </c>
      <c r="AG88" s="14">
        <v>5071</v>
      </c>
      <c r="AH88" s="14" t="s">
        <v>17</v>
      </c>
      <c r="AI88" s="15" t="s">
        <v>18</v>
      </c>
      <c r="AJ88" s="14">
        <v>1</v>
      </c>
      <c r="AK88" s="14">
        <v>0</v>
      </c>
      <c r="AL88" s="14">
        <v>0</v>
      </c>
      <c r="AM88" s="51">
        <v>47264</v>
      </c>
      <c r="AN88" s="51">
        <v>42475</v>
      </c>
      <c r="AO88" s="51">
        <v>1310</v>
      </c>
      <c r="AP88" s="51">
        <v>1088</v>
      </c>
      <c r="AQ88" s="51">
        <v>94</v>
      </c>
      <c r="AR88" s="51">
        <v>25</v>
      </c>
      <c r="AS88" s="51">
        <v>14</v>
      </c>
      <c r="AT88" s="51">
        <v>2258</v>
      </c>
      <c r="AU88" s="51">
        <v>23207</v>
      </c>
      <c r="AV88" s="51">
        <v>24057</v>
      </c>
      <c r="AW88" s="51">
        <v>21810</v>
      </c>
      <c r="AX88" s="51">
        <v>25454</v>
      </c>
      <c r="AY88" s="14">
        <v>18599.333333333332</v>
      </c>
      <c r="AZ88" s="14">
        <v>60537</v>
      </c>
      <c r="BA88" s="14">
        <v>2</v>
      </c>
      <c r="BB88" s="14">
        <v>43</v>
      </c>
      <c r="BC88" s="14">
        <v>60492</v>
      </c>
      <c r="BD88" s="14">
        <v>53988</v>
      </c>
      <c r="BE88" s="11">
        <f>Table14[[#This Row],[Melayu_Voters_GE15]]/Table14[[#This Row],[All_Voters_GE15]]</f>
        <v>0.89181822686951784</v>
      </c>
      <c r="BF88" s="14">
        <v>1511</v>
      </c>
      <c r="BG88" s="11">
        <f>Table14[[#This Row],[Chinese_Voters_GE15]]/Table14[[#This Row],[All_Voters_GE15]]</f>
        <v>2.495994185374234E-2</v>
      </c>
      <c r="BH88" s="14">
        <v>1256</v>
      </c>
      <c r="BI88" s="11">
        <f>Table14[[#This Row],[India_Voters_GE15]]/Table14[[#This Row],[All_Voters_GE15]]</f>
        <v>2.0747641937988337E-2</v>
      </c>
      <c r="BJ88" s="14">
        <v>3657</v>
      </c>
      <c r="BK88" s="14">
        <v>62</v>
      </c>
      <c r="BL88" s="14">
        <v>25</v>
      </c>
      <c r="BM88" s="14">
        <v>38</v>
      </c>
      <c r="BN88" s="14">
        <f>Table14[[#This Row],[Lain_Voters_GE15]]+Table14[[#This Row],[Swak_Voters_GE15]]+Table14[[#This Row],[Sabah_Voters_GE15]]+Table14[[#This Row],[OA_Voters_GE15]]</f>
        <v>3782</v>
      </c>
      <c r="BO88" s="11">
        <f>Table14[[#This Row],[Base_Stock_GE15]]/Table14[[#This Row],[All_Voters_GE15]]</f>
        <v>0.5587987511769662</v>
      </c>
      <c r="BP88" s="14">
        <v>26793</v>
      </c>
      <c r="BQ88" s="10">
        <v>16102</v>
      </c>
      <c r="BR88" s="44">
        <v>9659</v>
      </c>
      <c r="BS88" s="10">
        <v>3301</v>
      </c>
      <c r="BT88" s="10">
        <v>29127</v>
      </c>
      <c r="BU88" s="10">
        <v>18356</v>
      </c>
      <c r="BV88" s="10">
        <v>9753</v>
      </c>
      <c r="BW88" s="10">
        <f t="shared" si="25"/>
        <v>32428</v>
      </c>
      <c r="BX88" s="10">
        <f t="shared" si="26"/>
        <v>28109</v>
      </c>
      <c r="BY88" s="14">
        <v>61928</v>
      </c>
      <c r="BZ88" s="14">
        <v>0</v>
      </c>
      <c r="CA88" s="14">
        <v>37</v>
      </c>
      <c r="CB88" s="14">
        <v>61891</v>
      </c>
      <c r="CC88" s="14">
        <v>55108</v>
      </c>
      <c r="CD88" s="14">
        <v>1458</v>
      </c>
      <c r="CE88" s="14">
        <v>1251</v>
      </c>
      <c r="CF88" s="14">
        <v>3949</v>
      </c>
      <c r="CG88" s="14">
        <v>81</v>
      </c>
      <c r="CH88" s="14">
        <v>34</v>
      </c>
      <c r="CI88" s="14">
        <v>47</v>
      </c>
      <c r="CJ88" s="14">
        <f t="shared" si="27"/>
        <v>4111</v>
      </c>
      <c r="CK88" s="14">
        <v>30532</v>
      </c>
      <c r="CL88" s="14">
        <v>31396</v>
      </c>
      <c r="CM88" s="14">
        <v>29804</v>
      </c>
      <c r="CN88" s="11">
        <f t="shared" si="28"/>
        <v>0.48126856995220257</v>
      </c>
      <c r="CO88" s="14">
        <v>32124</v>
      </c>
      <c r="CP88" s="11">
        <f t="shared" si="29"/>
        <v>0.51873143004779743</v>
      </c>
      <c r="CQ88" s="29">
        <v>2614</v>
      </c>
      <c r="CR88" s="29">
        <v>27802</v>
      </c>
      <c r="CS88" s="29">
        <v>20808</v>
      </c>
      <c r="CT88" s="29">
        <v>10182</v>
      </c>
      <c r="CU88" s="45">
        <v>19345</v>
      </c>
      <c r="CV88" s="45">
        <v>6999</v>
      </c>
      <c r="CW88" s="45">
        <v>8414</v>
      </c>
      <c r="CX88" s="45">
        <v>2409</v>
      </c>
      <c r="CY88" s="45">
        <v>1523</v>
      </c>
      <c r="CZ88" s="45">
        <v>85</v>
      </c>
      <c r="DA88" s="45">
        <v>85</v>
      </c>
      <c r="DB88" s="45">
        <v>85</v>
      </c>
      <c r="DC88" s="45">
        <v>80</v>
      </c>
    </row>
    <row r="89" spans="1:107" x14ac:dyDescent="0.35">
      <c r="A89" s="1" t="s">
        <v>558</v>
      </c>
      <c r="B89" s="5" t="s">
        <v>0</v>
      </c>
      <c r="C89" s="3" t="s">
        <v>624</v>
      </c>
      <c r="D89" s="4" t="s">
        <v>625</v>
      </c>
      <c r="E89" s="5">
        <v>3</v>
      </c>
      <c r="F89" s="5">
        <v>44</v>
      </c>
      <c r="G89" s="2">
        <v>0.78267137200572878</v>
      </c>
      <c r="H89" s="2" t="s">
        <v>1276</v>
      </c>
      <c r="I89" s="9" t="s">
        <v>13</v>
      </c>
      <c r="J8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HJH SALAMIAH MOHD NOR </v>
      </c>
      <c r="K89" s="8">
        <v>25191</v>
      </c>
      <c r="L89" s="8" t="s">
        <v>8</v>
      </c>
      <c r="M89" s="7" t="s">
        <v>627</v>
      </c>
      <c r="N89" s="8">
        <v>25409</v>
      </c>
      <c r="O89" s="8" t="s">
        <v>10</v>
      </c>
      <c r="P89" s="7" t="s">
        <v>628</v>
      </c>
      <c r="Q89" s="8">
        <v>30929</v>
      </c>
      <c r="R89" s="8" t="s">
        <v>12</v>
      </c>
      <c r="S89" s="7" t="s">
        <v>626</v>
      </c>
      <c r="T89" s="10">
        <v>5520</v>
      </c>
      <c r="U89" s="10">
        <v>0</v>
      </c>
      <c r="V89" s="10">
        <v>0</v>
      </c>
      <c r="W89" s="10">
        <v>1</v>
      </c>
      <c r="X89" s="10">
        <v>40623</v>
      </c>
      <c r="Y89" s="12" t="s">
        <v>72</v>
      </c>
      <c r="Z89" s="12" t="s">
        <v>1277</v>
      </c>
      <c r="AA89" s="13" t="s">
        <v>629</v>
      </c>
      <c r="AB89" s="14">
        <v>1904</v>
      </c>
      <c r="AC89" s="15" t="s">
        <v>52</v>
      </c>
      <c r="AD89" s="16">
        <v>38738</v>
      </c>
      <c r="AE89" s="14">
        <v>22094</v>
      </c>
      <c r="AF89" s="14">
        <v>14734</v>
      </c>
      <c r="AG89" s="14">
        <v>23998</v>
      </c>
      <c r="AH89" s="14" t="s">
        <v>17</v>
      </c>
      <c r="AI89" s="15" t="s">
        <v>10</v>
      </c>
      <c r="AJ89" s="14">
        <v>0</v>
      </c>
      <c r="AK89" s="14">
        <v>1</v>
      </c>
      <c r="AL89" s="14">
        <v>0</v>
      </c>
      <c r="AM89" s="51">
        <v>75081</v>
      </c>
      <c r="AN89" s="51">
        <v>49890</v>
      </c>
      <c r="AO89" s="51">
        <v>16911</v>
      </c>
      <c r="AP89" s="51">
        <v>6131</v>
      </c>
      <c r="AQ89" s="51">
        <v>515</v>
      </c>
      <c r="AR89" s="51">
        <v>250</v>
      </c>
      <c r="AS89" s="51">
        <v>447</v>
      </c>
      <c r="AT89" s="51">
        <v>937</v>
      </c>
      <c r="AU89" s="51">
        <v>37262</v>
      </c>
      <c r="AV89" s="51">
        <v>37819</v>
      </c>
      <c r="AW89" s="51">
        <v>32972</v>
      </c>
      <c r="AX89" s="51">
        <v>42109</v>
      </c>
      <c r="AY89" s="14">
        <v>23557.333333333332</v>
      </c>
      <c r="AZ89" s="14">
        <v>106829</v>
      </c>
      <c r="BA89" s="14">
        <v>12</v>
      </c>
      <c r="BB89" s="14">
        <v>2546</v>
      </c>
      <c r="BC89" s="14">
        <v>104271</v>
      </c>
      <c r="BD89" s="14">
        <v>73152</v>
      </c>
      <c r="BE89" s="11">
        <f>Table14[[#This Row],[Melayu_Voters_GE15]]/Table14[[#This Row],[All_Voters_GE15]]</f>
        <v>0.68475788409514271</v>
      </c>
      <c r="BF89" s="14">
        <v>22380</v>
      </c>
      <c r="BG89" s="11">
        <f>Table14[[#This Row],[Chinese_Voters_GE15]]/Table14[[#This Row],[All_Voters_GE15]]</f>
        <v>0.20949367681060385</v>
      </c>
      <c r="BH89" s="14">
        <v>8731</v>
      </c>
      <c r="BI89" s="11">
        <f>Table14[[#This Row],[India_Voters_GE15]]/Table14[[#This Row],[All_Voters_GE15]]</f>
        <v>8.1728744067622094E-2</v>
      </c>
      <c r="BJ89" s="14">
        <v>1482</v>
      </c>
      <c r="BK89" s="14">
        <v>407</v>
      </c>
      <c r="BL89" s="14">
        <v>566</v>
      </c>
      <c r="BM89" s="14">
        <v>111</v>
      </c>
      <c r="BN89" s="14">
        <f>Table14[[#This Row],[Lain_Voters_GE15]]+Table14[[#This Row],[Swak_Voters_GE15]]+Table14[[#This Row],[Sabah_Voters_GE15]]+Table14[[#This Row],[OA_Voters_GE15]]</f>
        <v>2566</v>
      </c>
      <c r="BO89" s="11">
        <f>Table14[[#This Row],[Base_Stock_GE15]]/Table14[[#This Row],[All_Voters_GE15]]</f>
        <v>0.38026191389978375</v>
      </c>
      <c r="BP89" s="14">
        <v>29681</v>
      </c>
      <c r="BQ89" s="10">
        <v>35447</v>
      </c>
      <c r="BR89" s="44">
        <v>20102</v>
      </c>
      <c r="BS89" s="10">
        <v>6478</v>
      </c>
      <c r="BT89" s="10">
        <v>53620</v>
      </c>
      <c r="BU89" s="10">
        <v>30602</v>
      </c>
      <c r="BV89" s="10">
        <v>16129</v>
      </c>
      <c r="BW89" s="10">
        <f t="shared" si="25"/>
        <v>60098</v>
      </c>
      <c r="BX89" s="10">
        <f t="shared" si="26"/>
        <v>46731</v>
      </c>
      <c r="BY89" s="14">
        <v>110198</v>
      </c>
      <c r="BZ89" s="14">
        <v>0</v>
      </c>
      <c r="CA89" s="14">
        <v>2196</v>
      </c>
      <c r="CB89" s="14">
        <v>108002</v>
      </c>
      <c r="CC89" s="14">
        <v>76153</v>
      </c>
      <c r="CD89" s="14">
        <v>22436</v>
      </c>
      <c r="CE89" s="14">
        <v>8922</v>
      </c>
      <c r="CF89" s="14">
        <v>1620</v>
      </c>
      <c r="CG89" s="14">
        <v>377</v>
      </c>
      <c r="CH89" s="14">
        <v>532</v>
      </c>
      <c r="CI89" s="14">
        <v>158</v>
      </c>
      <c r="CJ89" s="14">
        <f t="shared" si="27"/>
        <v>2687</v>
      </c>
      <c r="CK89" s="14">
        <v>55214</v>
      </c>
      <c r="CL89" s="14">
        <v>54984</v>
      </c>
      <c r="CM89" s="14">
        <v>57719</v>
      </c>
      <c r="CN89" s="11">
        <f t="shared" si="28"/>
        <v>0.5237753861231601</v>
      </c>
      <c r="CO89" s="14">
        <v>52479</v>
      </c>
      <c r="CP89" s="11">
        <f t="shared" si="29"/>
        <v>0.4762246138768399</v>
      </c>
      <c r="CQ89" s="29">
        <v>4879</v>
      </c>
      <c r="CR89" s="29">
        <v>53471</v>
      </c>
      <c r="CS89" s="29">
        <v>32590</v>
      </c>
      <c r="CT89" s="29">
        <v>18357</v>
      </c>
      <c r="CU89" s="45">
        <v>17751</v>
      </c>
      <c r="CV89" s="45">
        <v>5749</v>
      </c>
      <c r="CW89" s="45">
        <v>7463</v>
      </c>
      <c r="CX89" s="45">
        <v>2862</v>
      </c>
      <c r="CY89" s="45">
        <v>1677</v>
      </c>
      <c r="CZ89" s="45">
        <v>95</v>
      </c>
      <c r="DA89" s="45">
        <v>95</v>
      </c>
      <c r="DB89" s="45">
        <v>93</v>
      </c>
      <c r="DC89" s="45">
        <v>89</v>
      </c>
    </row>
    <row r="90" spans="1:107" x14ac:dyDescent="0.35">
      <c r="A90" s="1" t="s">
        <v>558</v>
      </c>
      <c r="B90" s="5" t="s">
        <v>0</v>
      </c>
      <c r="C90" s="3" t="s">
        <v>630</v>
      </c>
      <c r="D90" s="4" t="s">
        <v>631</v>
      </c>
      <c r="E90" s="5">
        <v>4</v>
      </c>
      <c r="F90" s="5">
        <v>40</v>
      </c>
      <c r="G90" s="2">
        <v>0.77481678880746174</v>
      </c>
      <c r="H90" s="2" t="s">
        <v>1276</v>
      </c>
      <c r="I90" s="17" t="s">
        <v>121</v>
      </c>
      <c r="J9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YOUNG SYEFURA BINTI OTHMAN </v>
      </c>
      <c r="K90" s="8">
        <v>24383</v>
      </c>
      <c r="L90" s="8" t="s">
        <v>77</v>
      </c>
      <c r="M90" s="7" t="s">
        <v>633</v>
      </c>
      <c r="N90" s="8">
        <v>25075</v>
      </c>
      <c r="O90" s="8" t="s">
        <v>102</v>
      </c>
      <c r="P90" s="7" t="s">
        <v>632</v>
      </c>
      <c r="Q90" s="8">
        <v>16233</v>
      </c>
      <c r="R90" s="8" t="s">
        <v>25</v>
      </c>
      <c r="S90" s="7" t="s">
        <v>634</v>
      </c>
      <c r="T90" s="10">
        <v>692</v>
      </c>
      <c r="U90" s="10">
        <v>0</v>
      </c>
      <c r="V90" s="10">
        <v>1</v>
      </c>
      <c r="W90" s="10">
        <v>0</v>
      </c>
      <c r="X90" s="10">
        <v>27371</v>
      </c>
      <c r="Y90" s="12" t="s">
        <v>319</v>
      </c>
      <c r="Z90" s="12" t="s">
        <v>1277</v>
      </c>
      <c r="AA90" s="13" t="s">
        <v>635</v>
      </c>
      <c r="AB90" s="14">
        <v>2032</v>
      </c>
      <c r="AC90" s="15" t="s">
        <v>126</v>
      </c>
      <c r="AD90" s="16">
        <v>36465</v>
      </c>
      <c r="AE90" s="14">
        <v>23684</v>
      </c>
      <c r="AF90" s="14">
        <v>5706</v>
      </c>
      <c r="AG90" s="14">
        <v>25716</v>
      </c>
      <c r="AH90" s="14" t="s">
        <v>82</v>
      </c>
      <c r="AI90" s="15" t="s">
        <v>321</v>
      </c>
      <c r="AJ90" s="14">
        <v>0</v>
      </c>
      <c r="AK90" s="14">
        <v>1</v>
      </c>
      <c r="AL90" s="14">
        <v>0</v>
      </c>
      <c r="AM90" s="51">
        <v>67359</v>
      </c>
      <c r="AN90" s="51">
        <v>31315</v>
      </c>
      <c r="AO90" s="51">
        <v>28082</v>
      </c>
      <c r="AP90" s="51">
        <v>6210</v>
      </c>
      <c r="AQ90" s="51">
        <v>166</v>
      </c>
      <c r="AR90" s="51">
        <v>67</v>
      </c>
      <c r="AS90" s="51">
        <v>115</v>
      </c>
      <c r="AT90" s="51">
        <v>1404</v>
      </c>
      <c r="AU90" s="51">
        <v>34332</v>
      </c>
      <c r="AV90" s="51">
        <v>33027</v>
      </c>
      <c r="AW90" s="51">
        <v>25246</v>
      </c>
      <c r="AX90" s="51">
        <v>42113</v>
      </c>
      <c r="AY90" s="14">
        <v>24921.666666666668</v>
      </c>
      <c r="AZ90" s="14">
        <v>87058</v>
      </c>
      <c r="BA90" s="14">
        <v>13</v>
      </c>
      <c r="BB90" s="14">
        <v>1205</v>
      </c>
      <c r="BC90" s="14">
        <v>85840</v>
      </c>
      <c r="BD90" s="14">
        <v>43370</v>
      </c>
      <c r="BE90" s="11">
        <f>Table14[[#This Row],[Melayu_Voters_GE15]]/Table14[[#This Row],[All_Voters_GE15]]</f>
        <v>0.49817363137218867</v>
      </c>
      <c r="BF90" s="14">
        <v>32916</v>
      </c>
      <c r="BG90" s="11">
        <f>Table14[[#This Row],[Chinese_Voters_GE15]]/Table14[[#This Row],[All_Voters_GE15]]</f>
        <v>0.37809276574237866</v>
      </c>
      <c r="BH90" s="14">
        <v>7959</v>
      </c>
      <c r="BI90" s="11">
        <f>Table14[[#This Row],[India_Voters_GE15]]/Table14[[#This Row],[All_Voters_GE15]]</f>
        <v>9.1421810746858415E-2</v>
      </c>
      <c r="BJ90" s="14">
        <v>2338</v>
      </c>
      <c r="BK90" s="14">
        <v>152</v>
      </c>
      <c r="BL90" s="14">
        <v>150</v>
      </c>
      <c r="BM90" s="14">
        <v>173</v>
      </c>
      <c r="BN90" s="14">
        <f>Table14[[#This Row],[Lain_Voters_GE15]]+Table14[[#This Row],[Swak_Voters_GE15]]+Table14[[#This Row],[Sabah_Voters_GE15]]+Table14[[#This Row],[OA_Voters_GE15]]</f>
        <v>2813</v>
      </c>
      <c r="BO90" s="11">
        <f>Table14[[#This Row],[Base_Stock_GE15]]/Table14[[#This Row],[All_Voters_GE15]]</f>
        <v>0.31439959567185094</v>
      </c>
      <c r="BP90" s="14">
        <v>21284</v>
      </c>
      <c r="BQ90" s="10">
        <v>24292</v>
      </c>
      <c r="BR90" s="44">
        <v>13184</v>
      </c>
      <c r="BS90" s="10">
        <v>4228</v>
      </c>
      <c r="BT90" s="10">
        <v>37866</v>
      </c>
      <c r="BU90" s="10">
        <v>27967</v>
      </c>
      <c r="BV90" s="10">
        <v>16997</v>
      </c>
      <c r="BW90" s="10">
        <f t="shared" si="25"/>
        <v>42094</v>
      </c>
      <c r="BX90" s="10">
        <f t="shared" si="26"/>
        <v>44964</v>
      </c>
      <c r="BY90" s="14">
        <v>87938</v>
      </c>
      <c r="BZ90" s="14">
        <v>0</v>
      </c>
      <c r="CA90" s="14">
        <v>1266</v>
      </c>
      <c r="CB90" s="14">
        <v>86672</v>
      </c>
      <c r="CC90" s="14">
        <v>44928</v>
      </c>
      <c r="CD90" s="14">
        <v>32264</v>
      </c>
      <c r="CE90" s="14">
        <v>7860</v>
      </c>
      <c r="CF90" s="14">
        <v>2327</v>
      </c>
      <c r="CG90" s="14">
        <v>161</v>
      </c>
      <c r="CH90" s="14">
        <v>145</v>
      </c>
      <c r="CI90" s="14">
        <v>253</v>
      </c>
      <c r="CJ90" s="14">
        <f t="shared" si="27"/>
        <v>2886</v>
      </c>
      <c r="CK90" s="14">
        <v>44712</v>
      </c>
      <c r="CL90" s="14">
        <v>43226</v>
      </c>
      <c r="CM90" s="14">
        <v>39199</v>
      </c>
      <c r="CN90" s="11">
        <f t="shared" si="28"/>
        <v>0.44575723805408357</v>
      </c>
      <c r="CO90" s="14">
        <v>48739</v>
      </c>
      <c r="CP90" s="11">
        <f t="shared" si="29"/>
        <v>0.55424276194591648</v>
      </c>
      <c r="CQ90" s="29">
        <v>3174</v>
      </c>
      <c r="CR90" s="29">
        <v>36770</v>
      </c>
      <c r="CS90" s="29">
        <v>29042</v>
      </c>
      <c r="CT90" s="29">
        <v>18799</v>
      </c>
      <c r="CU90" s="45">
        <v>9590</v>
      </c>
      <c r="CV90" s="45">
        <v>3468</v>
      </c>
      <c r="CW90" s="45">
        <v>4416</v>
      </c>
      <c r="CX90" s="45">
        <v>1073</v>
      </c>
      <c r="CY90" s="45">
        <v>633</v>
      </c>
      <c r="CZ90" s="45">
        <v>43</v>
      </c>
      <c r="DA90" s="45">
        <v>43</v>
      </c>
      <c r="DB90" s="45">
        <v>43</v>
      </c>
      <c r="DC90" s="45">
        <v>42</v>
      </c>
    </row>
    <row r="91" spans="1:107" x14ac:dyDescent="0.35">
      <c r="A91" s="1" t="s">
        <v>558</v>
      </c>
      <c r="B91" s="5" t="s">
        <v>0</v>
      </c>
      <c r="C91" s="3" t="s">
        <v>636</v>
      </c>
      <c r="D91" s="4" t="s">
        <v>637</v>
      </c>
      <c r="E91" s="5">
        <v>3</v>
      </c>
      <c r="F91" s="5">
        <v>36</v>
      </c>
      <c r="G91" s="2">
        <v>0.77903668130142012</v>
      </c>
      <c r="H91" s="2" t="s">
        <v>1276</v>
      </c>
      <c r="I91" s="21" t="s">
        <v>403</v>
      </c>
      <c r="J9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ISMAIL SABRI BIN YAAKOB </v>
      </c>
      <c r="K91" s="8">
        <v>31762</v>
      </c>
      <c r="L91" s="8" t="s">
        <v>8</v>
      </c>
      <c r="M91" s="7" t="s">
        <v>638</v>
      </c>
      <c r="N91" s="8">
        <v>15067</v>
      </c>
      <c r="O91" s="8" t="s">
        <v>23</v>
      </c>
      <c r="P91" s="7" t="s">
        <v>639</v>
      </c>
      <c r="Q91" s="8">
        <v>12719</v>
      </c>
      <c r="R91" s="8" t="s">
        <v>25</v>
      </c>
      <c r="S91" s="7" t="s">
        <v>640</v>
      </c>
      <c r="T91" s="10">
        <v>16695</v>
      </c>
      <c r="U91" s="10">
        <v>1</v>
      </c>
      <c r="V91" s="10">
        <v>0</v>
      </c>
      <c r="W91" s="10">
        <v>0</v>
      </c>
      <c r="X91" s="10">
        <v>38311</v>
      </c>
      <c r="Y91" s="12" t="s">
        <v>14</v>
      </c>
      <c r="Z91" s="12" t="s">
        <v>1277</v>
      </c>
      <c r="AA91" s="13" t="s">
        <v>641</v>
      </c>
      <c r="AB91" s="14">
        <v>2311</v>
      </c>
      <c r="AC91" s="15" t="s">
        <v>504</v>
      </c>
      <c r="AD91" s="16">
        <v>30327</v>
      </c>
      <c r="AE91" s="14">
        <v>20760</v>
      </c>
      <c r="AF91" s="14">
        <v>8096</v>
      </c>
      <c r="AG91" s="14">
        <v>18449</v>
      </c>
      <c r="AH91" s="14" t="s">
        <v>17</v>
      </c>
      <c r="AI91" s="15" t="s">
        <v>29</v>
      </c>
      <c r="AJ91" s="14">
        <v>1</v>
      </c>
      <c r="AK91" s="14">
        <v>0</v>
      </c>
      <c r="AL91" s="14">
        <v>0</v>
      </c>
      <c r="AM91" s="51">
        <v>58711</v>
      </c>
      <c r="AN91" s="51">
        <v>36330</v>
      </c>
      <c r="AO91" s="51">
        <v>17124</v>
      </c>
      <c r="AP91" s="51">
        <v>2194</v>
      </c>
      <c r="AQ91" s="51">
        <v>142</v>
      </c>
      <c r="AR91" s="51">
        <v>133</v>
      </c>
      <c r="AS91" s="51">
        <v>95</v>
      </c>
      <c r="AT91" s="51">
        <v>2693</v>
      </c>
      <c r="AU91" s="51">
        <v>30077</v>
      </c>
      <c r="AV91" s="51">
        <v>28634</v>
      </c>
      <c r="AW91" s="51">
        <v>25735</v>
      </c>
      <c r="AX91" s="51">
        <v>32976</v>
      </c>
      <c r="AY91" s="14">
        <v>20160</v>
      </c>
      <c r="AZ91" s="14">
        <v>77669</v>
      </c>
      <c r="BA91" s="14">
        <v>9</v>
      </c>
      <c r="BB91" s="14">
        <v>3800</v>
      </c>
      <c r="BC91" s="14">
        <v>73860</v>
      </c>
      <c r="BD91" s="14">
        <v>48946</v>
      </c>
      <c r="BE91" s="11">
        <f>Table14[[#This Row],[Melayu_Voters_GE15]]/Table14[[#This Row],[All_Voters_GE15]]</f>
        <v>0.63018707592475764</v>
      </c>
      <c r="BF91" s="14">
        <v>21101</v>
      </c>
      <c r="BG91" s="11">
        <f>Table14[[#This Row],[Chinese_Voters_GE15]]/Table14[[#This Row],[All_Voters_GE15]]</f>
        <v>0.27167853326294916</v>
      </c>
      <c r="BH91" s="14">
        <v>2820</v>
      </c>
      <c r="BI91" s="11">
        <f>Table14[[#This Row],[India_Voters_GE15]]/Table14[[#This Row],[All_Voters_GE15]]</f>
        <v>3.6307922079594178E-2</v>
      </c>
      <c r="BJ91" s="14">
        <v>3965</v>
      </c>
      <c r="BK91" s="14">
        <v>322</v>
      </c>
      <c r="BL91" s="14">
        <v>317</v>
      </c>
      <c r="BM91" s="14">
        <v>198</v>
      </c>
      <c r="BN91" s="14">
        <f>Table14[[#This Row],[Lain_Voters_GE15]]+Table14[[#This Row],[Swak_Voters_GE15]]+Table14[[#This Row],[Sabah_Voters_GE15]]+Table14[[#This Row],[OA_Voters_GE15]]</f>
        <v>4802</v>
      </c>
      <c r="BO91" s="11">
        <f>Table14[[#This Row],[Base_Stock_GE15]]/Table14[[#This Row],[All_Voters_GE15]]</f>
        <v>0.49325985914586257</v>
      </c>
      <c r="BP91" s="14">
        <v>27987</v>
      </c>
      <c r="BQ91" s="10">
        <v>21142</v>
      </c>
      <c r="BR91" s="44">
        <v>12303</v>
      </c>
      <c r="BS91" s="10">
        <v>4015</v>
      </c>
      <c r="BT91" s="10">
        <v>37808</v>
      </c>
      <c r="BU91" s="10">
        <v>23300</v>
      </c>
      <c r="BV91" s="10">
        <v>12546</v>
      </c>
      <c r="BW91" s="10">
        <f t="shared" si="25"/>
        <v>41823</v>
      </c>
      <c r="BX91" s="10">
        <f t="shared" si="26"/>
        <v>35846</v>
      </c>
      <c r="BY91" s="14">
        <v>77402</v>
      </c>
      <c r="BZ91" s="14">
        <v>0</v>
      </c>
      <c r="CA91" s="14">
        <v>1904</v>
      </c>
      <c r="CB91" s="14">
        <v>75498</v>
      </c>
      <c r="CC91" s="14">
        <v>48560</v>
      </c>
      <c r="CD91" s="14">
        <v>21173</v>
      </c>
      <c r="CE91" s="14">
        <v>2800</v>
      </c>
      <c r="CF91" s="14">
        <v>4209</v>
      </c>
      <c r="CG91" s="14">
        <v>216</v>
      </c>
      <c r="CH91" s="14">
        <v>223</v>
      </c>
      <c r="CI91" s="14">
        <v>221</v>
      </c>
      <c r="CJ91" s="14">
        <f t="shared" si="27"/>
        <v>4869</v>
      </c>
      <c r="CK91" s="14">
        <v>39043</v>
      </c>
      <c r="CL91" s="14">
        <v>38359</v>
      </c>
      <c r="CM91" s="14">
        <v>37218</v>
      </c>
      <c r="CN91" s="11">
        <f t="shared" si="28"/>
        <v>0.48084028836464177</v>
      </c>
      <c r="CO91" s="14">
        <v>40184</v>
      </c>
      <c r="CP91" s="11">
        <f t="shared" si="29"/>
        <v>0.51915971163535823</v>
      </c>
      <c r="CQ91" s="29">
        <v>3138</v>
      </c>
      <c r="CR91" s="29">
        <v>34940</v>
      </c>
      <c r="CS91" s="29">
        <v>25350</v>
      </c>
      <c r="CT91" s="29">
        <v>13623</v>
      </c>
      <c r="CU91" s="45">
        <v>13169</v>
      </c>
      <c r="CV91" s="45">
        <v>4230</v>
      </c>
      <c r="CW91" s="45">
        <v>5503</v>
      </c>
      <c r="CX91" s="45">
        <v>2080</v>
      </c>
      <c r="CY91" s="45">
        <v>1356</v>
      </c>
      <c r="CZ91" s="45">
        <v>58</v>
      </c>
      <c r="DA91" s="45">
        <v>58</v>
      </c>
      <c r="DB91" s="45">
        <v>58</v>
      </c>
      <c r="DC91" s="45">
        <v>56</v>
      </c>
    </row>
    <row r="92" spans="1:107" x14ac:dyDescent="0.35">
      <c r="A92" s="1" t="s">
        <v>558</v>
      </c>
      <c r="B92" s="5" t="s">
        <v>0</v>
      </c>
      <c r="C92" s="3" t="s">
        <v>642</v>
      </c>
      <c r="D92" s="4" t="s">
        <v>643</v>
      </c>
      <c r="E92" s="5">
        <v>3</v>
      </c>
      <c r="F92" s="5">
        <v>38</v>
      </c>
      <c r="G92" s="2">
        <v>0.76553612099045221</v>
      </c>
      <c r="H92" s="2" t="s">
        <v>1276</v>
      </c>
      <c r="I92" s="9" t="s">
        <v>13</v>
      </c>
      <c r="J9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KHALIB </v>
      </c>
      <c r="K92" s="8">
        <v>30151</v>
      </c>
      <c r="L92" s="8" t="s">
        <v>8</v>
      </c>
      <c r="M92" s="7" t="s">
        <v>645</v>
      </c>
      <c r="N92" s="8">
        <v>4779</v>
      </c>
      <c r="O92" s="8" t="s">
        <v>23</v>
      </c>
      <c r="P92" s="7" t="s">
        <v>646</v>
      </c>
      <c r="Q92" s="8">
        <v>31589</v>
      </c>
      <c r="R92" s="8" t="s">
        <v>25</v>
      </c>
      <c r="S92" s="7" t="s">
        <v>644</v>
      </c>
      <c r="T92" s="10">
        <v>1438</v>
      </c>
      <c r="U92" s="10">
        <v>0</v>
      </c>
      <c r="V92" s="10">
        <v>0</v>
      </c>
      <c r="W92" s="10">
        <v>1</v>
      </c>
      <c r="X92" s="10">
        <v>54389</v>
      </c>
      <c r="Y92" s="12" t="s">
        <v>14</v>
      </c>
      <c r="Z92" s="12" t="s">
        <v>1277</v>
      </c>
      <c r="AA92" s="13" t="s">
        <v>647</v>
      </c>
      <c r="AB92" s="14">
        <v>11395</v>
      </c>
      <c r="AC92" s="15" t="s">
        <v>648</v>
      </c>
      <c r="AD92" s="16">
        <v>36985</v>
      </c>
      <c r="AE92" s="14">
        <v>26628</v>
      </c>
      <c r="AF92" s="14">
        <v>15233</v>
      </c>
      <c r="AG92" s="14">
        <v>7876</v>
      </c>
      <c r="AH92" s="14" t="s">
        <v>17</v>
      </c>
      <c r="AI92" s="15" t="s">
        <v>29</v>
      </c>
      <c r="AJ92" s="14">
        <v>1</v>
      </c>
      <c r="AK92" s="14">
        <v>0</v>
      </c>
      <c r="AL92" s="14">
        <v>0</v>
      </c>
      <c r="AM92" s="51">
        <v>61918</v>
      </c>
      <c r="AN92" s="51">
        <v>54295</v>
      </c>
      <c r="AO92" s="51">
        <v>1431</v>
      </c>
      <c r="AP92" s="51">
        <v>654</v>
      </c>
      <c r="AQ92" s="51">
        <v>200</v>
      </c>
      <c r="AR92" s="51">
        <v>73</v>
      </c>
      <c r="AS92" s="51">
        <v>33</v>
      </c>
      <c r="AT92" s="51">
        <v>5232</v>
      </c>
      <c r="AU92" s="51">
        <v>30576</v>
      </c>
      <c r="AV92" s="51">
        <v>31342</v>
      </c>
      <c r="AW92" s="51">
        <v>30114</v>
      </c>
      <c r="AX92" s="51">
        <v>31804</v>
      </c>
      <c r="AY92" s="14">
        <v>25992</v>
      </c>
      <c r="AZ92" s="14">
        <v>89131</v>
      </c>
      <c r="BA92" s="14">
        <v>3</v>
      </c>
      <c r="BB92" s="14">
        <v>634</v>
      </c>
      <c r="BC92" s="14">
        <v>88494</v>
      </c>
      <c r="BD92" s="14">
        <v>75091</v>
      </c>
      <c r="BE92" s="11">
        <f>Table14[[#This Row],[Melayu_Voters_GE15]]/Table14[[#This Row],[All_Voters_GE15]]</f>
        <v>0.84247904769384385</v>
      </c>
      <c r="BF92" s="14">
        <v>2177</v>
      </c>
      <c r="BG92" s="11">
        <f>Table14[[#This Row],[Chinese_Voters_GE15]]/Table14[[#This Row],[All_Voters_GE15]]</f>
        <v>2.4424723160292153E-2</v>
      </c>
      <c r="BH92" s="14">
        <v>804</v>
      </c>
      <c r="BI92" s="11">
        <f>Table14[[#This Row],[India_Voters_GE15]]/Table14[[#This Row],[All_Voters_GE15]]</f>
        <v>9.0204306021474008E-3</v>
      </c>
      <c r="BJ92" s="14">
        <v>10697</v>
      </c>
      <c r="BK92" s="14">
        <v>142</v>
      </c>
      <c r="BL92" s="14">
        <v>81</v>
      </c>
      <c r="BM92" s="14">
        <v>139</v>
      </c>
      <c r="BN92" s="14">
        <f>Table14[[#This Row],[Lain_Voters_GE15]]+Table14[[#This Row],[Swak_Voters_GE15]]+Table14[[#This Row],[Sabah_Voters_GE15]]+Table14[[#This Row],[OA_Voters_GE15]]</f>
        <v>11059</v>
      </c>
      <c r="BO92" s="11">
        <f>Table14[[#This Row],[Base_Stock_GE15]]/Table14[[#This Row],[All_Voters_GE15]]</f>
        <v>0.61021417912959575</v>
      </c>
      <c r="BP92" s="14">
        <v>38029</v>
      </c>
      <c r="BQ92" s="10">
        <v>30464</v>
      </c>
      <c r="BR92" s="44">
        <v>16004</v>
      </c>
      <c r="BS92" s="10">
        <v>5254</v>
      </c>
      <c r="BT92" s="10">
        <v>48119</v>
      </c>
      <c r="BU92" s="10">
        <v>23106</v>
      </c>
      <c r="BV92" s="10">
        <v>12652</v>
      </c>
      <c r="BW92" s="10">
        <f t="shared" si="25"/>
        <v>53373</v>
      </c>
      <c r="BX92" s="10">
        <f t="shared" si="26"/>
        <v>35758</v>
      </c>
      <c r="BY92" s="14">
        <v>92801</v>
      </c>
      <c r="BZ92" s="14">
        <v>0</v>
      </c>
      <c r="CA92" s="14">
        <v>794</v>
      </c>
      <c r="CB92" s="14">
        <v>92007</v>
      </c>
      <c r="CC92" s="14">
        <v>77601</v>
      </c>
      <c r="CD92" s="14">
        <v>2288</v>
      </c>
      <c r="CE92" s="14">
        <v>816</v>
      </c>
      <c r="CF92" s="14">
        <v>11574</v>
      </c>
      <c r="CG92" s="14">
        <v>194</v>
      </c>
      <c r="CH92" s="14">
        <v>129</v>
      </c>
      <c r="CI92" s="14">
        <v>199</v>
      </c>
      <c r="CJ92" s="14">
        <f t="shared" si="27"/>
        <v>12096</v>
      </c>
      <c r="CK92" s="14">
        <v>46198</v>
      </c>
      <c r="CL92" s="14">
        <v>46603</v>
      </c>
      <c r="CM92" s="14">
        <v>50226</v>
      </c>
      <c r="CN92" s="11">
        <f t="shared" si="28"/>
        <v>0.54122261613560196</v>
      </c>
      <c r="CO92" s="14">
        <v>42575</v>
      </c>
      <c r="CP92" s="11">
        <f t="shared" si="29"/>
        <v>0.45877738386439804</v>
      </c>
      <c r="CQ92" s="29">
        <v>4217</v>
      </c>
      <c r="CR92" s="29">
        <v>46732</v>
      </c>
      <c r="CS92" s="29">
        <v>26525</v>
      </c>
      <c r="CT92" s="29">
        <v>14096</v>
      </c>
      <c r="CU92" s="45">
        <v>22433</v>
      </c>
      <c r="CV92" s="45">
        <v>8136</v>
      </c>
      <c r="CW92" s="45">
        <v>10222</v>
      </c>
      <c r="CX92" s="45">
        <v>2737</v>
      </c>
      <c r="CY92" s="45">
        <v>1338</v>
      </c>
      <c r="CZ92" s="45">
        <v>112</v>
      </c>
      <c r="DA92" s="45">
        <v>112</v>
      </c>
      <c r="DB92" s="45">
        <v>111</v>
      </c>
      <c r="DC92" s="45">
        <v>100</v>
      </c>
    </row>
    <row r="93" spans="1:107" x14ac:dyDescent="0.35">
      <c r="A93" s="1" t="s">
        <v>649</v>
      </c>
      <c r="B93" s="5" t="s">
        <v>0</v>
      </c>
      <c r="C93" s="3" t="s">
        <v>650</v>
      </c>
      <c r="D93" s="4" t="s">
        <v>651</v>
      </c>
      <c r="E93" s="5">
        <v>2</v>
      </c>
      <c r="F93" s="5">
        <v>32</v>
      </c>
      <c r="G93" s="2">
        <v>0.80383266484527893</v>
      </c>
      <c r="H93" s="2" t="s">
        <v>1276</v>
      </c>
      <c r="I93" s="9" t="s">
        <v>13</v>
      </c>
      <c r="J9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CIKGU KALAM BIN SALAN </v>
      </c>
      <c r="K93" s="8">
        <v>12917</v>
      </c>
      <c r="L93" s="8" t="s">
        <v>8</v>
      </c>
      <c r="M93" s="7" t="s">
        <v>653</v>
      </c>
      <c r="N93" s="8">
        <v>9627</v>
      </c>
      <c r="O93" s="8" t="s">
        <v>10</v>
      </c>
      <c r="P93" s="7" t="s">
        <v>654</v>
      </c>
      <c r="Q93" s="8">
        <v>17973</v>
      </c>
      <c r="R93" s="8" t="s">
        <v>18</v>
      </c>
      <c r="S93" s="7" t="s">
        <v>652</v>
      </c>
      <c r="T93" s="10">
        <v>5056</v>
      </c>
      <c r="U93" s="10">
        <v>0</v>
      </c>
      <c r="V93" s="10">
        <v>0</v>
      </c>
      <c r="W93" s="10">
        <v>1</v>
      </c>
      <c r="X93" s="10">
        <v>18657</v>
      </c>
      <c r="Y93" s="12" t="s">
        <v>14</v>
      </c>
      <c r="Z93" s="12" t="s">
        <v>1277</v>
      </c>
      <c r="AA93" s="13" t="s">
        <v>655</v>
      </c>
      <c r="AB93" s="14">
        <v>1674</v>
      </c>
      <c r="AC93" s="15" t="s">
        <v>656</v>
      </c>
      <c r="AD93" s="16">
        <v>26360</v>
      </c>
      <c r="AE93" s="14">
        <v>12862</v>
      </c>
      <c r="AF93" s="14">
        <v>9300</v>
      </c>
      <c r="AG93" s="14">
        <v>11188</v>
      </c>
      <c r="AH93" s="14" t="s">
        <v>17</v>
      </c>
      <c r="AI93" s="15" t="s">
        <v>18</v>
      </c>
      <c r="AJ93" s="14">
        <v>1</v>
      </c>
      <c r="AK93" s="14">
        <v>0</v>
      </c>
      <c r="AL93" s="14">
        <v>0</v>
      </c>
      <c r="AM93" s="51">
        <v>40863</v>
      </c>
      <c r="AN93" s="51">
        <v>33936</v>
      </c>
      <c r="AO93" s="51">
        <v>4777</v>
      </c>
      <c r="AP93" s="51">
        <v>2030</v>
      </c>
      <c r="AQ93" s="51">
        <v>70</v>
      </c>
      <c r="AR93" s="51">
        <v>26</v>
      </c>
      <c r="AS93" s="51">
        <v>21</v>
      </c>
      <c r="AT93" s="51">
        <v>3</v>
      </c>
      <c r="AU93" s="51">
        <v>20057</v>
      </c>
      <c r="AV93" s="51">
        <v>20806</v>
      </c>
      <c r="AW93" s="51">
        <v>17572</v>
      </c>
      <c r="AX93" s="51">
        <v>23291</v>
      </c>
      <c r="AY93" s="14">
        <v>13768</v>
      </c>
      <c r="AZ93" s="14">
        <v>51609</v>
      </c>
      <c r="BA93" s="14">
        <v>1</v>
      </c>
      <c r="BB93" s="14">
        <v>57</v>
      </c>
      <c r="BC93" s="14">
        <v>51551</v>
      </c>
      <c r="BD93" s="14">
        <v>42201</v>
      </c>
      <c r="BE93" s="11">
        <f>Table14[[#This Row],[Melayu_Voters_GE15]]/Table14[[#This Row],[All_Voters_GE15]]</f>
        <v>0.81770621403243615</v>
      </c>
      <c r="BF93" s="14">
        <v>6724</v>
      </c>
      <c r="BG93" s="11">
        <f>Table14[[#This Row],[Chinese_Voters_GE15]]/Table14[[#This Row],[All_Voters_GE15]]</f>
        <v>0.13028735298106919</v>
      </c>
      <c r="BH93" s="14">
        <v>2533</v>
      </c>
      <c r="BI93" s="11">
        <f>Table14[[#This Row],[India_Voters_GE15]]/Table14[[#This Row],[All_Voters_GE15]]</f>
        <v>4.9080586719370656E-2</v>
      </c>
      <c r="BJ93" s="14">
        <v>4</v>
      </c>
      <c r="BK93" s="14">
        <v>49</v>
      </c>
      <c r="BL93" s="14">
        <v>39</v>
      </c>
      <c r="BM93" s="14">
        <v>59</v>
      </c>
      <c r="BN93" s="14">
        <f>Table14[[#This Row],[Lain_Voters_GE15]]+Table14[[#This Row],[Swak_Voters_GE15]]+Table14[[#This Row],[Sabah_Voters_GE15]]+Table14[[#This Row],[OA_Voters_GE15]]</f>
        <v>151</v>
      </c>
      <c r="BO93" s="11">
        <f>Table14[[#This Row],[Base_Stock_GE15]]/Table14[[#This Row],[All_Voters_GE15]]</f>
        <v>0.36150671394524209</v>
      </c>
      <c r="BP93" s="14">
        <v>14447</v>
      </c>
      <c r="BQ93" s="10">
        <v>13087</v>
      </c>
      <c r="BR93" s="44">
        <v>8585</v>
      </c>
      <c r="BS93" s="10">
        <v>2831</v>
      </c>
      <c r="BT93" s="10">
        <v>23900</v>
      </c>
      <c r="BU93" s="10">
        <v>15810</v>
      </c>
      <c r="BV93" s="10">
        <v>9068</v>
      </c>
      <c r="BW93" s="10">
        <f t="shared" si="25"/>
        <v>26731</v>
      </c>
      <c r="BX93" s="10">
        <f t="shared" si="26"/>
        <v>24878</v>
      </c>
      <c r="BY93" s="14">
        <v>52853</v>
      </c>
      <c r="BZ93" s="14">
        <v>0</v>
      </c>
      <c r="CA93" s="14">
        <v>63</v>
      </c>
      <c r="CB93" s="14">
        <v>52790</v>
      </c>
      <c r="CC93" s="14">
        <v>43410</v>
      </c>
      <c r="CD93" s="14">
        <v>6800</v>
      </c>
      <c r="CE93" s="14">
        <v>2468</v>
      </c>
      <c r="CF93" s="14">
        <v>4</v>
      </c>
      <c r="CG93" s="14">
        <v>58</v>
      </c>
      <c r="CH93" s="14">
        <v>53</v>
      </c>
      <c r="CI93" s="14">
        <v>60</v>
      </c>
      <c r="CJ93" s="14">
        <f t="shared" si="27"/>
        <v>175</v>
      </c>
      <c r="CK93" s="14">
        <v>25935</v>
      </c>
      <c r="CL93" s="14">
        <v>26918</v>
      </c>
      <c r="CM93" s="14">
        <v>25461</v>
      </c>
      <c r="CN93" s="11">
        <f t="shared" si="28"/>
        <v>0.4817323519951564</v>
      </c>
      <c r="CO93" s="14">
        <v>27392</v>
      </c>
      <c r="CP93" s="11">
        <f t="shared" si="29"/>
        <v>0.5182676480048436</v>
      </c>
      <c r="CQ93" s="29">
        <v>3042</v>
      </c>
      <c r="CR93" s="29">
        <v>23669</v>
      </c>
      <c r="CS93" s="29">
        <v>16337</v>
      </c>
      <c r="CT93" s="29">
        <v>9316</v>
      </c>
      <c r="CU93" s="45">
        <v>13327</v>
      </c>
      <c r="CV93" s="45">
        <v>4593</v>
      </c>
      <c r="CW93" s="45">
        <v>6198</v>
      </c>
      <c r="CX93" s="45">
        <v>1717</v>
      </c>
      <c r="CY93" s="45">
        <v>819</v>
      </c>
      <c r="CZ93" s="45">
        <v>70</v>
      </c>
      <c r="DA93" s="45">
        <v>70</v>
      </c>
      <c r="DB93" s="45">
        <v>70</v>
      </c>
      <c r="DC93" s="45">
        <v>65</v>
      </c>
    </row>
    <row r="94" spans="1:107" x14ac:dyDescent="0.35">
      <c r="A94" s="1" t="s">
        <v>649</v>
      </c>
      <c r="B94" s="5" t="s">
        <v>0</v>
      </c>
      <c r="C94" s="3" t="s">
        <v>657</v>
      </c>
      <c r="D94" s="4" t="s">
        <v>658</v>
      </c>
      <c r="E94" s="5">
        <v>2</v>
      </c>
      <c r="F94" s="5">
        <v>30</v>
      </c>
      <c r="G94" s="2">
        <v>0.80137305458047281</v>
      </c>
      <c r="H94" s="2" t="s">
        <v>1276</v>
      </c>
      <c r="I94" s="9" t="s">
        <v>13</v>
      </c>
      <c r="J9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CIKGU MUSLIMIN YAHAYA </v>
      </c>
      <c r="K94" s="8">
        <v>13984</v>
      </c>
      <c r="L94" s="8" t="s">
        <v>8</v>
      </c>
      <c r="M94" s="7" t="s">
        <v>660</v>
      </c>
      <c r="N94" s="8">
        <v>17070</v>
      </c>
      <c r="O94" s="8" t="s">
        <v>23</v>
      </c>
      <c r="P94" s="7" t="s">
        <v>661</v>
      </c>
      <c r="Q94" s="8">
        <v>19791</v>
      </c>
      <c r="R94" s="8" t="s">
        <v>18</v>
      </c>
      <c r="S94" s="7" t="s">
        <v>659</v>
      </c>
      <c r="T94" s="10">
        <v>2721</v>
      </c>
      <c r="U94" s="10">
        <v>0</v>
      </c>
      <c r="V94" s="10">
        <v>0</v>
      </c>
      <c r="W94" s="10">
        <v>1</v>
      </c>
      <c r="X94" s="10">
        <v>27998</v>
      </c>
      <c r="Y94" s="12" t="s">
        <v>43</v>
      </c>
      <c r="Z94" s="12" t="s">
        <v>1277</v>
      </c>
      <c r="AA94" s="13" t="s">
        <v>662</v>
      </c>
      <c r="AB94" s="14">
        <v>714</v>
      </c>
      <c r="AC94" s="15" t="s">
        <v>133</v>
      </c>
      <c r="AD94" s="16">
        <v>27622</v>
      </c>
      <c r="AE94" s="14">
        <v>16636</v>
      </c>
      <c r="AF94" s="14">
        <v>7220</v>
      </c>
      <c r="AG94" s="14">
        <v>17350</v>
      </c>
      <c r="AH94" s="14" t="s">
        <v>17</v>
      </c>
      <c r="AI94" s="15" t="s">
        <v>18</v>
      </c>
      <c r="AJ94" s="14">
        <v>0</v>
      </c>
      <c r="AK94" s="14">
        <v>1</v>
      </c>
      <c r="AL94" s="14">
        <v>0</v>
      </c>
      <c r="AM94" s="51">
        <v>48739</v>
      </c>
      <c r="AN94" s="51">
        <v>33486</v>
      </c>
      <c r="AO94" s="51">
        <v>14024</v>
      </c>
      <c r="AP94" s="51">
        <v>995</v>
      </c>
      <c r="AQ94" s="51">
        <v>148</v>
      </c>
      <c r="AR94" s="51">
        <v>61</v>
      </c>
      <c r="AS94" s="51">
        <v>21</v>
      </c>
      <c r="AT94" s="51">
        <v>4</v>
      </c>
      <c r="AU94" s="51">
        <v>24387</v>
      </c>
      <c r="AV94" s="51">
        <v>24352</v>
      </c>
      <c r="AW94" s="51">
        <v>21453</v>
      </c>
      <c r="AX94" s="51">
        <v>27286</v>
      </c>
      <c r="AY94" s="14">
        <v>17133.333333333332</v>
      </c>
      <c r="AZ94" s="14">
        <v>64382</v>
      </c>
      <c r="BA94" s="14">
        <v>3</v>
      </c>
      <c r="BB94" s="14">
        <v>325</v>
      </c>
      <c r="BC94" s="14">
        <v>64054</v>
      </c>
      <c r="BD94" s="14">
        <v>43847</v>
      </c>
      <c r="BE94" s="11">
        <f>Table14[[#This Row],[Melayu_Voters_GE15]]/Table14[[#This Row],[All_Voters_GE15]]</f>
        <v>0.6810443912894909</v>
      </c>
      <c r="BF94" s="14">
        <v>18873</v>
      </c>
      <c r="BG94" s="11">
        <f>Table14[[#This Row],[Chinese_Voters_GE15]]/Table14[[#This Row],[All_Voters_GE15]]</f>
        <v>0.2931409400142897</v>
      </c>
      <c r="BH94" s="14">
        <v>1372</v>
      </c>
      <c r="BI94" s="11">
        <f>Table14[[#This Row],[India_Voters_GE15]]/Table14[[#This Row],[All_Voters_GE15]]</f>
        <v>2.13103041222702E-2</v>
      </c>
      <c r="BJ94" s="14">
        <v>8</v>
      </c>
      <c r="BK94" s="14">
        <v>132</v>
      </c>
      <c r="BL94" s="14">
        <v>50</v>
      </c>
      <c r="BM94" s="14">
        <v>100</v>
      </c>
      <c r="BN94" s="14">
        <f>Table14[[#This Row],[Lain_Voters_GE15]]+Table14[[#This Row],[Swak_Voters_GE15]]+Table14[[#This Row],[Sabah_Voters_GE15]]+Table14[[#This Row],[OA_Voters_GE15]]</f>
        <v>290</v>
      </c>
      <c r="BO94" s="11">
        <f>Table14[[#This Row],[Base_Stock_GE15]]/Table14[[#This Row],[All_Voters_GE15]]</f>
        <v>0.43487310117734773</v>
      </c>
      <c r="BP94" s="14">
        <v>22398</v>
      </c>
      <c r="BQ94" s="10">
        <v>18033</v>
      </c>
      <c r="BR94" s="44">
        <v>10916</v>
      </c>
      <c r="BS94" s="10">
        <v>3432</v>
      </c>
      <c r="BT94" s="10">
        <v>31250</v>
      </c>
      <c r="BU94" s="10">
        <v>19888</v>
      </c>
      <c r="BV94" s="10">
        <v>9812</v>
      </c>
      <c r="BW94" s="10">
        <f t="shared" si="25"/>
        <v>34682</v>
      </c>
      <c r="BX94" s="10">
        <f t="shared" si="26"/>
        <v>29700</v>
      </c>
      <c r="BY94" s="14">
        <v>65978</v>
      </c>
      <c r="BZ94" s="14">
        <v>0</v>
      </c>
      <c r="CA94" s="14">
        <v>351</v>
      </c>
      <c r="CB94" s="14">
        <v>65627</v>
      </c>
      <c r="CC94" s="14">
        <v>45301</v>
      </c>
      <c r="CD94" s="14">
        <v>19108</v>
      </c>
      <c r="CE94" s="14">
        <v>1296</v>
      </c>
      <c r="CF94" s="14">
        <v>7</v>
      </c>
      <c r="CG94" s="14">
        <v>148</v>
      </c>
      <c r="CH94" s="14">
        <v>56</v>
      </c>
      <c r="CI94" s="14">
        <v>62</v>
      </c>
      <c r="CJ94" s="14">
        <f t="shared" si="27"/>
        <v>273</v>
      </c>
      <c r="CK94" s="14">
        <v>33280</v>
      </c>
      <c r="CL94" s="14">
        <v>32698</v>
      </c>
      <c r="CM94" s="14">
        <v>32755</v>
      </c>
      <c r="CN94" s="11">
        <f t="shared" si="28"/>
        <v>0.49645336324229289</v>
      </c>
      <c r="CO94" s="14">
        <v>33223</v>
      </c>
      <c r="CP94" s="11">
        <f t="shared" si="29"/>
        <v>0.50354663675770717</v>
      </c>
      <c r="CQ94" s="29">
        <v>3503</v>
      </c>
      <c r="CR94" s="29">
        <v>30919</v>
      </c>
      <c r="CS94" s="29">
        <v>20496</v>
      </c>
      <c r="CT94" s="29">
        <v>10526</v>
      </c>
      <c r="CU94" s="45">
        <v>14206</v>
      </c>
      <c r="CV94" s="45">
        <v>4398</v>
      </c>
      <c r="CW94" s="45">
        <v>6281</v>
      </c>
      <c r="CX94" s="45">
        <v>2030</v>
      </c>
      <c r="CY94" s="45">
        <v>1497</v>
      </c>
      <c r="CZ94" s="45">
        <v>114</v>
      </c>
      <c r="DA94" s="45">
        <v>113</v>
      </c>
      <c r="DB94" s="45">
        <v>112</v>
      </c>
      <c r="DC94" s="45">
        <v>108</v>
      </c>
    </row>
    <row r="95" spans="1:107" x14ac:dyDescent="0.35">
      <c r="A95" s="1" t="s">
        <v>649</v>
      </c>
      <c r="B95" s="5" t="s">
        <v>0</v>
      </c>
      <c r="C95" s="3" t="s">
        <v>663</v>
      </c>
      <c r="D95" s="4" t="s">
        <v>664</v>
      </c>
      <c r="E95" s="5">
        <v>3</v>
      </c>
      <c r="F95" s="5">
        <v>50</v>
      </c>
      <c r="G95" s="2">
        <v>0.80408509755892088</v>
      </c>
      <c r="H95" s="2" t="s">
        <v>1276</v>
      </c>
      <c r="I95" s="9" t="s">
        <v>13</v>
      </c>
      <c r="J9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HASNIZAN BIN HARUN </v>
      </c>
      <c r="K95" s="8">
        <v>27050</v>
      </c>
      <c r="L95" s="8" t="s">
        <v>137</v>
      </c>
      <c r="M95" s="7" t="s">
        <v>666</v>
      </c>
      <c r="N95" s="8">
        <v>45261</v>
      </c>
      <c r="O95" s="8" t="s">
        <v>23</v>
      </c>
      <c r="P95" s="7" t="s">
        <v>667</v>
      </c>
      <c r="Q95" s="8">
        <v>46823</v>
      </c>
      <c r="R95" s="8" t="s">
        <v>12</v>
      </c>
      <c r="S95" s="7" t="s">
        <v>665</v>
      </c>
      <c r="T95" s="10">
        <v>1562</v>
      </c>
      <c r="U95" s="10">
        <v>0</v>
      </c>
      <c r="V95" s="10">
        <v>0</v>
      </c>
      <c r="W95" s="10">
        <v>1</v>
      </c>
      <c r="X95" s="10">
        <v>59363</v>
      </c>
      <c r="Y95" s="12" t="s">
        <v>26</v>
      </c>
      <c r="Z95" s="12" t="s">
        <v>1277</v>
      </c>
      <c r="AA95" s="13" t="s">
        <v>668</v>
      </c>
      <c r="AB95" s="14">
        <v>13391</v>
      </c>
      <c r="AC95" s="15" t="s">
        <v>133</v>
      </c>
      <c r="AD95" s="16">
        <v>61829</v>
      </c>
      <c r="AE95" s="14">
        <v>27392</v>
      </c>
      <c r="AF95" s="14">
        <v>16620</v>
      </c>
      <c r="AG95" s="14">
        <v>40783</v>
      </c>
      <c r="AH95" s="14" t="s">
        <v>456</v>
      </c>
      <c r="AI95" s="15" t="s">
        <v>29</v>
      </c>
      <c r="AJ95" s="14">
        <v>0</v>
      </c>
      <c r="AK95" s="14">
        <v>1</v>
      </c>
      <c r="AL95" s="14">
        <v>0</v>
      </c>
      <c r="AM95" s="51">
        <v>100990</v>
      </c>
      <c r="AN95" s="51">
        <v>60964</v>
      </c>
      <c r="AO95" s="51">
        <v>21008</v>
      </c>
      <c r="AP95" s="51">
        <v>16476</v>
      </c>
      <c r="AQ95" s="51">
        <v>531</v>
      </c>
      <c r="AR95" s="51">
        <v>205</v>
      </c>
      <c r="AS95" s="51">
        <v>148</v>
      </c>
      <c r="AT95" s="51">
        <v>1658</v>
      </c>
      <c r="AU95" s="51">
        <v>49573</v>
      </c>
      <c r="AV95" s="51">
        <v>51417</v>
      </c>
      <c r="AW95" s="51">
        <v>40337</v>
      </c>
      <c r="AX95" s="51">
        <v>60653</v>
      </c>
      <c r="AY95" s="14">
        <v>29258</v>
      </c>
      <c r="AZ95" s="14">
        <v>154317</v>
      </c>
      <c r="BA95" s="14">
        <v>13</v>
      </c>
      <c r="BB95" s="14">
        <v>1344</v>
      </c>
      <c r="BC95" s="14">
        <v>152960</v>
      </c>
      <c r="BD95" s="14">
        <v>99105</v>
      </c>
      <c r="BE95" s="11">
        <f>Table14[[#This Row],[Melayu_Voters_GE15]]/Table14[[#This Row],[All_Voters_GE15]]</f>
        <v>0.6422169948871479</v>
      </c>
      <c r="BF95" s="14">
        <v>27766</v>
      </c>
      <c r="BG95" s="11">
        <f>Table14[[#This Row],[Chinese_Voters_GE15]]/Table14[[#This Row],[All_Voters_GE15]]</f>
        <v>0.17992832934803035</v>
      </c>
      <c r="BH95" s="14">
        <v>23417</v>
      </c>
      <c r="BI95" s="11">
        <f>Table14[[#This Row],[India_Voters_GE15]]/Table14[[#This Row],[All_Voters_GE15]]</f>
        <v>0.15174608111873611</v>
      </c>
      <c r="BJ95" s="14">
        <v>2842</v>
      </c>
      <c r="BK95" s="14">
        <v>524</v>
      </c>
      <c r="BL95" s="14">
        <v>363</v>
      </c>
      <c r="BM95" s="14">
        <v>300</v>
      </c>
      <c r="BN95" s="14">
        <f>Table14[[#This Row],[Lain_Voters_GE15]]+Table14[[#This Row],[Swak_Voters_GE15]]+Table14[[#This Row],[Sabah_Voters_GE15]]+Table14[[#This Row],[OA_Voters_GE15]]</f>
        <v>4029</v>
      </c>
      <c r="BO95" s="11">
        <f>Table14[[#This Row],[Base_Stock_GE15]]/Table14[[#This Row],[All_Voters_GE15]]</f>
        <v>0.38468218018753603</v>
      </c>
      <c r="BP95" s="14">
        <v>44140</v>
      </c>
      <c r="BQ95" s="10">
        <v>56516</v>
      </c>
      <c r="BR95" s="44">
        <v>33676</v>
      </c>
      <c r="BS95" s="10">
        <v>11251</v>
      </c>
      <c r="BT95" s="10">
        <v>74524</v>
      </c>
      <c r="BU95" s="10">
        <v>47018</v>
      </c>
      <c r="BV95" s="10">
        <v>21524</v>
      </c>
      <c r="BW95" s="10">
        <f t="shared" si="25"/>
        <v>85775</v>
      </c>
      <c r="BX95" s="10">
        <f t="shared" si="26"/>
        <v>68542</v>
      </c>
      <c r="BY95" s="14">
        <v>165980</v>
      </c>
      <c r="BZ95" s="14">
        <v>0</v>
      </c>
      <c r="CA95" s="14">
        <v>1263</v>
      </c>
      <c r="CB95" s="14">
        <v>164717</v>
      </c>
      <c r="CC95" s="14">
        <v>109978</v>
      </c>
      <c r="CD95" s="14">
        <v>27891</v>
      </c>
      <c r="CE95" s="14">
        <v>23322</v>
      </c>
      <c r="CF95" s="14">
        <v>3148</v>
      </c>
      <c r="CG95" s="14">
        <v>622</v>
      </c>
      <c r="CH95" s="14">
        <v>467</v>
      </c>
      <c r="CI95" s="14">
        <v>552</v>
      </c>
      <c r="CJ95" s="14">
        <f t="shared" si="27"/>
        <v>4789</v>
      </c>
      <c r="CK95" s="14">
        <v>82080</v>
      </c>
      <c r="CL95" s="14">
        <v>83900</v>
      </c>
      <c r="CM95" s="14">
        <v>87892</v>
      </c>
      <c r="CN95" s="11">
        <f t="shared" si="28"/>
        <v>0.52953367875647672</v>
      </c>
      <c r="CO95" s="14">
        <v>78088</v>
      </c>
      <c r="CP95" s="11">
        <f t="shared" si="29"/>
        <v>0.47046632124352333</v>
      </c>
      <c r="CQ95" s="29">
        <v>12313</v>
      </c>
      <c r="CR95" s="29">
        <v>77386</v>
      </c>
      <c r="CS95" s="29">
        <v>48621</v>
      </c>
      <c r="CT95" s="29">
        <v>23834</v>
      </c>
      <c r="CU95" s="45">
        <v>21058</v>
      </c>
      <c r="CV95" s="45">
        <v>7590</v>
      </c>
      <c r="CW95" s="45">
        <v>9626</v>
      </c>
      <c r="CX95" s="45">
        <v>2604</v>
      </c>
      <c r="CY95" s="45">
        <v>1238</v>
      </c>
      <c r="CZ95" s="45">
        <v>157</v>
      </c>
      <c r="DA95" s="45">
        <v>157</v>
      </c>
      <c r="DB95" s="45">
        <v>151</v>
      </c>
      <c r="DC95" s="45">
        <v>135</v>
      </c>
    </row>
    <row r="96" spans="1:107" x14ac:dyDescent="0.35">
      <c r="A96" s="1" t="s">
        <v>649</v>
      </c>
      <c r="B96" s="5" t="s">
        <v>0</v>
      </c>
      <c r="C96" s="3" t="s">
        <v>669</v>
      </c>
      <c r="D96" s="4" t="s">
        <v>670</v>
      </c>
      <c r="E96" s="5">
        <v>2</v>
      </c>
      <c r="F96" s="5">
        <v>34</v>
      </c>
      <c r="G96" s="2">
        <v>0.83403543750200981</v>
      </c>
      <c r="H96" s="2" t="s">
        <v>1276</v>
      </c>
      <c r="I96" s="9" t="s">
        <v>13</v>
      </c>
      <c r="J9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KAPTEN(B) DATO ZULKAFPERI HANAPI </v>
      </c>
      <c r="K96" s="8">
        <v>15874</v>
      </c>
      <c r="L96" s="8" t="s">
        <v>8</v>
      </c>
      <c r="M96" s="7" t="s">
        <v>672</v>
      </c>
      <c r="N96" s="8">
        <v>12314</v>
      </c>
      <c r="O96" s="8"/>
      <c r="P96" s="7"/>
      <c r="Q96" s="8">
        <v>18054</v>
      </c>
      <c r="R96" s="8" t="s">
        <v>18</v>
      </c>
      <c r="S96" s="7" t="s">
        <v>671</v>
      </c>
      <c r="T96" s="10">
        <v>2180</v>
      </c>
      <c r="U96" s="10">
        <v>0</v>
      </c>
      <c r="V96" s="10">
        <v>0</v>
      </c>
      <c r="W96" s="10">
        <v>1</v>
      </c>
      <c r="X96" s="10">
        <v>29027</v>
      </c>
      <c r="Y96" s="12" t="s">
        <v>14</v>
      </c>
      <c r="Z96" s="12" t="s">
        <v>1277</v>
      </c>
      <c r="AA96" s="13" t="s">
        <v>673</v>
      </c>
      <c r="AB96" s="14">
        <v>1970</v>
      </c>
      <c r="AC96" s="15" t="s">
        <v>674</v>
      </c>
      <c r="AD96" s="16">
        <v>32608</v>
      </c>
      <c r="AE96" s="14">
        <v>17596</v>
      </c>
      <c r="AF96" s="14">
        <v>7276</v>
      </c>
      <c r="AG96" s="14">
        <v>15626</v>
      </c>
      <c r="AH96" s="14" t="s">
        <v>17</v>
      </c>
      <c r="AI96" s="15" t="s">
        <v>18</v>
      </c>
      <c r="AJ96" s="14">
        <v>1</v>
      </c>
      <c r="AK96" s="14">
        <v>0</v>
      </c>
      <c r="AL96" s="14">
        <v>0</v>
      </c>
      <c r="AM96" s="51">
        <v>47198</v>
      </c>
      <c r="AN96" s="51">
        <v>35242</v>
      </c>
      <c r="AO96" s="51">
        <v>7532</v>
      </c>
      <c r="AP96" s="51">
        <v>4240</v>
      </c>
      <c r="AQ96" s="51">
        <v>144</v>
      </c>
      <c r="AR96" s="51">
        <v>30</v>
      </c>
      <c r="AS96" s="51">
        <v>9</v>
      </c>
      <c r="AT96" s="51">
        <v>1</v>
      </c>
      <c r="AU96" s="51">
        <v>23402</v>
      </c>
      <c r="AV96" s="51">
        <v>23796</v>
      </c>
      <c r="AW96" s="51">
        <v>19683</v>
      </c>
      <c r="AX96" s="51">
        <v>27515</v>
      </c>
      <c r="AY96" s="14">
        <v>18072.333333333332</v>
      </c>
      <c r="AZ96" s="14">
        <v>62194</v>
      </c>
      <c r="BA96" s="14">
        <v>5</v>
      </c>
      <c r="BB96" s="14">
        <v>27</v>
      </c>
      <c r="BC96" s="14">
        <v>62162</v>
      </c>
      <c r="BD96" s="14">
        <v>46224</v>
      </c>
      <c r="BE96" s="11">
        <f>Table14[[#This Row],[Melayu_Voters_GE15]]/Table14[[#This Row],[All_Voters_GE15]]</f>
        <v>0.74322281892143938</v>
      </c>
      <c r="BF96" s="14">
        <v>10680</v>
      </c>
      <c r="BG96" s="11">
        <f>Table14[[#This Row],[Chinese_Voters_GE15]]/Table14[[#This Row],[All_Voters_GE15]]</f>
        <v>0.17172074476637617</v>
      </c>
      <c r="BH96" s="14">
        <v>5130</v>
      </c>
      <c r="BI96" s="11">
        <f>Table14[[#This Row],[India_Voters_GE15]]/Table14[[#This Row],[All_Voters_GE15]]</f>
        <v>8.2483840884972834E-2</v>
      </c>
      <c r="BJ96" s="14">
        <v>4</v>
      </c>
      <c r="BK96" s="14">
        <v>63</v>
      </c>
      <c r="BL96" s="14">
        <v>28</v>
      </c>
      <c r="BM96" s="14">
        <v>65</v>
      </c>
      <c r="BN96" s="14">
        <f>Table14[[#This Row],[Lain_Voters_GE15]]+Table14[[#This Row],[Swak_Voters_GE15]]+Table14[[#This Row],[Sabah_Voters_GE15]]+Table14[[#This Row],[OA_Voters_GE15]]</f>
        <v>160</v>
      </c>
      <c r="BO96" s="11">
        <f>Table14[[#This Row],[Base_Stock_GE15]]/Table14[[#This Row],[All_Voters_GE15]]</f>
        <v>0.46671704666044955</v>
      </c>
      <c r="BP96" s="14">
        <v>19903</v>
      </c>
      <c r="BQ96" s="10">
        <v>17371</v>
      </c>
      <c r="BR96" s="44">
        <v>10805</v>
      </c>
      <c r="BS96" s="10">
        <v>3470</v>
      </c>
      <c r="BT96" s="10">
        <v>28926</v>
      </c>
      <c r="BU96" s="10">
        <v>19755</v>
      </c>
      <c r="BV96" s="10">
        <v>10043</v>
      </c>
      <c r="BW96" s="10">
        <f t="shared" si="25"/>
        <v>32396</v>
      </c>
      <c r="BX96" s="10">
        <f t="shared" si="26"/>
        <v>29798</v>
      </c>
      <c r="BY96" s="14">
        <v>64015</v>
      </c>
      <c r="BZ96" s="14">
        <v>0</v>
      </c>
      <c r="CA96" s="14">
        <v>28</v>
      </c>
      <c r="CB96" s="14">
        <v>63987</v>
      </c>
      <c r="CC96" s="14">
        <v>48143</v>
      </c>
      <c r="CD96" s="14">
        <v>10800</v>
      </c>
      <c r="CE96" s="14">
        <v>4870</v>
      </c>
      <c r="CF96" s="14">
        <v>4</v>
      </c>
      <c r="CG96" s="14">
        <v>72</v>
      </c>
      <c r="CH96" s="14">
        <v>43</v>
      </c>
      <c r="CI96" s="14">
        <v>83</v>
      </c>
      <c r="CJ96" s="14">
        <f t="shared" si="27"/>
        <v>202</v>
      </c>
      <c r="CK96" s="14">
        <v>32082</v>
      </c>
      <c r="CL96" s="14">
        <v>31933</v>
      </c>
      <c r="CM96" s="14">
        <v>30907</v>
      </c>
      <c r="CN96" s="11">
        <f t="shared" si="28"/>
        <v>0.4828087167070218</v>
      </c>
      <c r="CO96" s="14">
        <v>33108</v>
      </c>
      <c r="CP96" s="11">
        <f t="shared" si="29"/>
        <v>0.51719128329297825</v>
      </c>
      <c r="CQ96" s="29">
        <v>3619</v>
      </c>
      <c r="CR96" s="29">
        <v>28764</v>
      </c>
      <c r="CS96" s="29">
        <v>20432</v>
      </c>
      <c r="CT96" s="29">
        <v>10471</v>
      </c>
      <c r="CU96" s="45">
        <v>16841</v>
      </c>
      <c r="CV96" s="45">
        <v>5623</v>
      </c>
      <c r="CW96" s="45">
        <v>7445</v>
      </c>
      <c r="CX96" s="45">
        <v>2228</v>
      </c>
      <c r="CY96" s="45">
        <v>1545</v>
      </c>
      <c r="CZ96" s="45">
        <v>99</v>
      </c>
      <c r="DA96" s="45">
        <v>97</v>
      </c>
      <c r="DB96" s="45">
        <v>97</v>
      </c>
      <c r="DC96" s="45">
        <v>96</v>
      </c>
    </row>
    <row r="97" spans="1:107" x14ac:dyDescent="0.35">
      <c r="A97" s="1" t="s">
        <v>649</v>
      </c>
      <c r="B97" s="5" t="s">
        <v>0</v>
      </c>
      <c r="C97" s="3" t="s">
        <v>675</v>
      </c>
      <c r="D97" s="4" t="s">
        <v>676</v>
      </c>
      <c r="E97" s="5">
        <v>3</v>
      </c>
      <c r="F97" s="5">
        <v>37</v>
      </c>
      <c r="G97" s="2">
        <v>0.85171586482889916</v>
      </c>
      <c r="H97" s="2" t="s">
        <v>1276</v>
      </c>
      <c r="I97" s="17" t="s">
        <v>121</v>
      </c>
      <c r="J9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SERI DR DZULKEFLY AHMAD </v>
      </c>
      <c r="K97" s="8">
        <v>30031</v>
      </c>
      <c r="L97" s="8" t="s">
        <v>8</v>
      </c>
      <c r="M97" s="7" t="s">
        <v>678</v>
      </c>
      <c r="N97" s="8">
        <v>31033</v>
      </c>
      <c r="O97" s="8" t="s">
        <v>10</v>
      </c>
      <c r="P97" s="7" t="s">
        <v>677</v>
      </c>
      <c r="Q97" s="8">
        <v>23639</v>
      </c>
      <c r="R97" s="8" t="s">
        <v>18</v>
      </c>
      <c r="S97" s="7" t="s">
        <v>679</v>
      </c>
      <c r="T97" s="10">
        <v>1002</v>
      </c>
      <c r="U97" s="10">
        <v>0</v>
      </c>
      <c r="V97" s="10">
        <v>1</v>
      </c>
      <c r="W97" s="10">
        <v>0</v>
      </c>
      <c r="X97" s="10">
        <v>37146</v>
      </c>
      <c r="Y97" s="12" t="s">
        <v>72</v>
      </c>
      <c r="Z97" s="12" t="s">
        <v>1277</v>
      </c>
      <c r="AA97" s="13" t="s">
        <v>680</v>
      </c>
      <c r="AB97" s="14">
        <v>8498</v>
      </c>
      <c r="AC97" s="15" t="s">
        <v>277</v>
      </c>
      <c r="AD97" s="16">
        <v>36359</v>
      </c>
      <c r="AE97" s="14">
        <v>21344</v>
      </c>
      <c r="AF97" s="14">
        <v>8535</v>
      </c>
      <c r="AG97" s="14">
        <v>29842</v>
      </c>
      <c r="AH97" s="14" t="s">
        <v>17</v>
      </c>
      <c r="AI97" s="15" t="s">
        <v>10</v>
      </c>
      <c r="AJ97" s="14">
        <v>0</v>
      </c>
      <c r="AK97" s="14">
        <v>1</v>
      </c>
      <c r="AL97" s="14">
        <v>0</v>
      </c>
      <c r="AM97" s="51">
        <v>69397</v>
      </c>
      <c r="AN97" s="51">
        <v>45407</v>
      </c>
      <c r="AO97" s="51">
        <v>8964</v>
      </c>
      <c r="AP97" s="51">
        <v>14666</v>
      </c>
      <c r="AQ97" s="51">
        <v>227</v>
      </c>
      <c r="AR97" s="51">
        <v>83</v>
      </c>
      <c r="AS97" s="51">
        <v>44</v>
      </c>
      <c r="AT97" s="51">
        <v>6</v>
      </c>
      <c r="AU97" s="51">
        <v>34070</v>
      </c>
      <c r="AV97" s="51">
        <v>35327</v>
      </c>
      <c r="AW97" s="51">
        <v>29491</v>
      </c>
      <c r="AX97" s="51">
        <v>39906</v>
      </c>
      <c r="AY97" s="14">
        <v>22259.333333333332</v>
      </c>
      <c r="AZ97" s="14">
        <v>102951</v>
      </c>
      <c r="BA97" s="14">
        <v>7</v>
      </c>
      <c r="BB97" s="14">
        <v>391</v>
      </c>
      <c r="BC97" s="14">
        <v>102553</v>
      </c>
      <c r="BD97" s="14">
        <v>70225</v>
      </c>
      <c r="BE97" s="11">
        <f>Table14[[#This Row],[Melayu_Voters_GE15]]/Table14[[#This Row],[All_Voters_GE15]]</f>
        <v>0.68212062048935906</v>
      </c>
      <c r="BF97" s="14">
        <v>12286</v>
      </c>
      <c r="BG97" s="11">
        <f>Table14[[#This Row],[Chinese_Voters_GE15]]/Table14[[#This Row],[All_Voters_GE15]]</f>
        <v>0.11933832599974745</v>
      </c>
      <c r="BH97" s="14">
        <v>19981</v>
      </c>
      <c r="BI97" s="11">
        <f>Table14[[#This Row],[India_Voters_GE15]]/Table14[[#This Row],[All_Voters_GE15]]</f>
        <v>0.19408262182980252</v>
      </c>
      <c r="BJ97" s="14">
        <v>15</v>
      </c>
      <c r="BK97" s="14">
        <v>217</v>
      </c>
      <c r="BL97" s="14">
        <v>107</v>
      </c>
      <c r="BM97" s="14">
        <v>120</v>
      </c>
      <c r="BN97" s="14">
        <f>Table14[[#This Row],[Lain_Voters_GE15]]+Table14[[#This Row],[Swak_Voters_GE15]]+Table14[[#This Row],[Sabah_Voters_GE15]]+Table14[[#This Row],[OA_Voters_GE15]]</f>
        <v>459</v>
      </c>
      <c r="BO97" s="11">
        <f>Table14[[#This Row],[Base_Stock_GE15]]/Table14[[#This Row],[All_Voters_GE15]]</f>
        <v>0.36081242532855434</v>
      </c>
      <c r="BP97" s="14">
        <v>29901</v>
      </c>
      <c r="BQ97" s="10">
        <v>34454</v>
      </c>
      <c r="BR97" s="44">
        <v>22113</v>
      </c>
      <c r="BS97" s="10">
        <v>7453</v>
      </c>
      <c r="BT97" s="10">
        <v>50063</v>
      </c>
      <c r="BU97" s="10">
        <v>31418</v>
      </c>
      <c r="BV97" s="10">
        <v>14017</v>
      </c>
      <c r="BW97" s="10">
        <f t="shared" si="25"/>
        <v>57516</v>
      </c>
      <c r="BX97" s="10">
        <f t="shared" si="26"/>
        <v>45435</v>
      </c>
      <c r="BY97" s="14">
        <v>112303</v>
      </c>
      <c r="BZ97" s="14">
        <v>0</v>
      </c>
      <c r="CA97" s="14">
        <v>371</v>
      </c>
      <c r="CB97" s="14">
        <v>111932</v>
      </c>
      <c r="CC97" s="14">
        <v>78893</v>
      </c>
      <c r="CD97" s="14">
        <v>12692</v>
      </c>
      <c r="CE97" s="14">
        <v>20098</v>
      </c>
      <c r="CF97" s="14">
        <v>14</v>
      </c>
      <c r="CG97" s="14">
        <v>264</v>
      </c>
      <c r="CH97" s="14">
        <v>153</v>
      </c>
      <c r="CI97" s="14">
        <v>189</v>
      </c>
      <c r="CJ97" s="14">
        <f t="shared" si="27"/>
        <v>620</v>
      </c>
      <c r="CK97" s="14">
        <v>55395</v>
      </c>
      <c r="CL97" s="14">
        <v>56908</v>
      </c>
      <c r="CM97" s="14">
        <v>59393</v>
      </c>
      <c r="CN97" s="11">
        <f t="shared" si="28"/>
        <v>0.52886387718938943</v>
      </c>
      <c r="CO97" s="14">
        <v>52910</v>
      </c>
      <c r="CP97" s="11">
        <f t="shared" si="29"/>
        <v>0.47113612281061057</v>
      </c>
      <c r="CQ97" s="29">
        <v>8507</v>
      </c>
      <c r="CR97" s="29">
        <v>52201</v>
      </c>
      <c r="CS97" s="29">
        <v>33277</v>
      </c>
      <c r="CT97" s="29">
        <v>15262</v>
      </c>
      <c r="CU97" s="45">
        <v>14409</v>
      </c>
      <c r="CV97" s="45">
        <v>5195</v>
      </c>
      <c r="CW97" s="45">
        <v>6292</v>
      </c>
      <c r="CX97" s="45">
        <v>1925</v>
      </c>
      <c r="CY97" s="45">
        <v>997</v>
      </c>
      <c r="CZ97" s="45">
        <v>86</v>
      </c>
      <c r="DA97" s="45">
        <v>86</v>
      </c>
      <c r="DB97" s="45">
        <v>86</v>
      </c>
      <c r="DC97" s="45">
        <v>78</v>
      </c>
    </row>
    <row r="98" spans="1:107" x14ac:dyDescent="0.35">
      <c r="A98" s="1" t="s">
        <v>649</v>
      </c>
      <c r="B98" s="5" t="s">
        <v>0</v>
      </c>
      <c r="C98" s="3" t="s">
        <v>681</v>
      </c>
      <c r="D98" s="4" t="s">
        <v>682</v>
      </c>
      <c r="E98" s="5">
        <v>3</v>
      </c>
      <c r="F98" s="5">
        <v>43</v>
      </c>
      <c r="G98" s="2">
        <v>0.80626752378276845</v>
      </c>
      <c r="H98" s="2" t="s">
        <v>1276</v>
      </c>
      <c r="I98" s="17" t="s">
        <v>121</v>
      </c>
      <c r="J9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WILLIAM LEONG JEE KEEN </v>
      </c>
      <c r="K98" s="8">
        <v>19425</v>
      </c>
      <c r="L98" s="8" t="s">
        <v>77</v>
      </c>
      <c r="M98" s="7" t="s">
        <v>684</v>
      </c>
      <c r="N98" s="8">
        <v>72773</v>
      </c>
      <c r="O98" s="8" t="s">
        <v>23</v>
      </c>
      <c r="P98" s="7" t="s">
        <v>683</v>
      </c>
      <c r="Q98" s="8">
        <v>49154</v>
      </c>
      <c r="R98" s="8" t="s">
        <v>18</v>
      </c>
      <c r="S98" s="7" t="s">
        <v>685</v>
      </c>
      <c r="T98" s="10">
        <v>23619</v>
      </c>
      <c r="U98" s="10">
        <v>0</v>
      </c>
      <c r="V98" s="10">
        <v>1</v>
      </c>
      <c r="W98" s="10">
        <v>0</v>
      </c>
      <c r="X98" s="10">
        <v>46393</v>
      </c>
      <c r="Y98" s="12" t="s">
        <v>26</v>
      </c>
      <c r="Z98" s="12" t="s">
        <v>1277</v>
      </c>
      <c r="AA98" s="13" t="s">
        <v>686</v>
      </c>
      <c r="AB98" s="14">
        <v>40657</v>
      </c>
      <c r="AC98" s="15" t="s">
        <v>66</v>
      </c>
      <c r="AD98" s="16">
        <v>52482</v>
      </c>
      <c r="AE98" s="14">
        <v>19501</v>
      </c>
      <c r="AF98" s="14">
        <v>18343</v>
      </c>
      <c r="AG98" s="14">
        <v>60158</v>
      </c>
      <c r="AH98" s="14" t="s">
        <v>82</v>
      </c>
      <c r="AI98" s="15" t="s">
        <v>29</v>
      </c>
      <c r="AJ98" s="14">
        <v>0</v>
      </c>
      <c r="AK98" s="14">
        <v>1</v>
      </c>
      <c r="AL98" s="14">
        <v>0</v>
      </c>
      <c r="AM98" s="51">
        <v>116176</v>
      </c>
      <c r="AN98" s="51">
        <v>60093</v>
      </c>
      <c r="AO98" s="51">
        <v>33377</v>
      </c>
      <c r="AP98" s="51">
        <v>20808</v>
      </c>
      <c r="AQ98" s="51">
        <v>1098</v>
      </c>
      <c r="AR98" s="51">
        <v>364</v>
      </c>
      <c r="AS98" s="51">
        <v>177</v>
      </c>
      <c r="AT98" s="51">
        <v>259</v>
      </c>
      <c r="AU98" s="51">
        <v>57056</v>
      </c>
      <c r="AV98" s="51">
        <v>59120</v>
      </c>
      <c r="AW98" s="51">
        <v>48461</v>
      </c>
      <c r="AX98" s="51">
        <v>67715</v>
      </c>
      <c r="AY98" s="14">
        <v>27025.333333333332</v>
      </c>
      <c r="AZ98" s="14">
        <v>181539</v>
      </c>
      <c r="BA98" s="14">
        <v>14</v>
      </c>
      <c r="BB98" s="14">
        <v>644</v>
      </c>
      <c r="BC98" s="14">
        <v>180881</v>
      </c>
      <c r="BD98" s="14">
        <v>98819</v>
      </c>
      <c r="BE98" s="11">
        <f>Table14[[#This Row],[Melayu_Voters_GE15]]/Table14[[#This Row],[All_Voters_GE15]]</f>
        <v>0.5443403345837533</v>
      </c>
      <c r="BF98" s="14">
        <v>47484</v>
      </c>
      <c r="BG98" s="11">
        <f>Table14[[#This Row],[Chinese_Voters_GE15]]/Table14[[#This Row],[All_Voters_GE15]]</f>
        <v>0.26156363095533192</v>
      </c>
      <c r="BH98" s="14">
        <v>32911</v>
      </c>
      <c r="BI98" s="11">
        <f>Table14[[#This Row],[India_Voters_GE15]]/Table14[[#This Row],[All_Voters_GE15]]</f>
        <v>0.18128886905843924</v>
      </c>
      <c r="BJ98" s="14">
        <v>459</v>
      </c>
      <c r="BK98" s="14">
        <v>795</v>
      </c>
      <c r="BL98" s="14">
        <v>441</v>
      </c>
      <c r="BM98" s="14">
        <v>630</v>
      </c>
      <c r="BN98" s="14">
        <f>Table14[[#This Row],[Lain_Voters_GE15]]+Table14[[#This Row],[Swak_Voters_GE15]]+Table14[[#This Row],[Sabah_Voters_GE15]]+Table14[[#This Row],[OA_Voters_GE15]]</f>
        <v>2325</v>
      </c>
      <c r="BO98" s="11">
        <f>Table14[[#This Row],[Base_Stock_GE15]]/Table14[[#This Row],[All_Voters_GE15]]</f>
        <v>0.25555390301808428</v>
      </c>
      <c r="BP98" s="14">
        <v>34581</v>
      </c>
      <c r="BQ98" s="10">
        <v>66947</v>
      </c>
      <c r="BR98" s="44">
        <v>40484</v>
      </c>
      <c r="BS98" s="10">
        <v>13736</v>
      </c>
      <c r="BT98" s="10">
        <v>88199</v>
      </c>
      <c r="BU98" s="10">
        <v>55177</v>
      </c>
      <c r="BV98" s="10">
        <v>24427</v>
      </c>
      <c r="BW98" s="10">
        <f t="shared" si="25"/>
        <v>101935</v>
      </c>
      <c r="BX98" s="10">
        <f t="shared" si="26"/>
        <v>79604</v>
      </c>
      <c r="BY98" s="14">
        <v>198826</v>
      </c>
      <c r="BZ98" s="14">
        <v>0</v>
      </c>
      <c r="CA98" s="14">
        <v>964</v>
      </c>
      <c r="CB98" s="14">
        <v>197862</v>
      </c>
      <c r="CC98" s="14">
        <v>111789</v>
      </c>
      <c r="CD98" s="14">
        <v>50325</v>
      </c>
      <c r="CE98" s="14">
        <v>33470</v>
      </c>
      <c r="CF98" s="14">
        <v>504</v>
      </c>
      <c r="CG98" s="14">
        <v>962</v>
      </c>
      <c r="CH98" s="14">
        <v>602</v>
      </c>
      <c r="CI98" s="14">
        <v>1174</v>
      </c>
      <c r="CJ98" s="14">
        <f t="shared" si="27"/>
        <v>3242</v>
      </c>
      <c r="CK98" s="14">
        <v>98305</v>
      </c>
      <c r="CL98" s="14">
        <v>100521</v>
      </c>
      <c r="CM98" s="14">
        <v>105591</v>
      </c>
      <c r="CN98" s="11">
        <f t="shared" si="28"/>
        <v>0.53107239495840586</v>
      </c>
      <c r="CO98" s="14">
        <v>93235</v>
      </c>
      <c r="CP98" s="11">
        <f t="shared" si="29"/>
        <v>0.46892760504159414</v>
      </c>
      <c r="CQ98" s="29">
        <v>15499</v>
      </c>
      <c r="CR98" s="29">
        <v>92262</v>
      </c>
      <c r="CS98" s="29">
        <v>57506</v>
      </c>
      <c r="CT98" s="29">
        <v>28081</v>
      </c>
      <c r="CU98" s="45">
        <v>16992</v>
      </c>
      <c r="CV98" s="45">
        <v>6056</v>
      </c>
      <c r="CW98" s="45">
        <v>7507</v>
      </c>
      <c r="CX98" s="45">
        <v>2536</v>
      </c>
      <c r="CY98" s="45">
        <v>893</v>
      </c>
      <c r="CZ98" s="45">
        <v>143</v>
      </c>
      <c r="DA98" s="45">
        <v>143</v>
      </c>
      <c r="DB98" s="45">
        <v>138</v>
      </c>
      <c r="DC98" s="45">
        <v>115</v>
      </c>
    </row>
    <row r="99" spans="1:107" x14ac:dyDescent="0.35">
      <c r="A99" s="1" t="s">
        <v>649</v>
      </c>
      <c r="B99" s="5" t="s">
        <v>0</v>
      </c>
      <c r="C99" s="3" t="s">
        <v>687</v>
      </c>
      <c r="D99" s="4" t="s">
        <v>688</v>
      </c>
      <c r="E99" s="5">
        <v>3</v>
      </c>
      <c r="F99" s="5">
        <v>47</v>
      </c>
      <c r="G99" s="2">
        <v>0.80798959099175793</v>
      </c>
      <c r="H99" s="2" t="s">
        <v>1276</v>
      </c>
      <c r="I99" s="17" t="s">
        <v>121</v>
      </c>
      <c r="J9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AMIRUDDIN SHAARI </v>
      </c>
      <c r="K99" s="8">
        <v>30723</v>
      </c>
      <c r="L99" s="8" t="s">
        <v>8</v>
      </c>
      <c r="M99" s="7" t="s">
        <v>690</v>
      </c>
      <c r="N99" s="8">
        <v>72267</v>
      </c>
      <c r="O99" s="8" t="s">
        <v>23</v>
      </c>
      <c r="P99" s="7" t="s">
        <v>689</v>
      </c>
      <c r="Q99" s="8">
        <v>59538</v>
      </c>
      <c r="R99" s="8" t="s">
        <v>18</v>
      </c>
      <c r="S99" s="7" t="s">
        <v>691</v>
      </c>
      <c r="T99" s="10">
        <v>12729</v>
      </c>
      <c r="U99" s="10">
        <v>0</v>
      </c>
      <c r="V99" s="10">
        <v>1</v>
      </c>
      <c r="W99" s="10">
        <v>0</v>
      </c>
      <c r="X99" s="10">
        <v>51813</v>
      </c>
      <c r="Y99" s="12" t="s">
        <v>26</v>
      </c>
      <c r="Z99" s="12" t="s">
        <v>1277</v>
      </c>
      <c r="AA99" s="13" t="s">
        <v>692</v>
      </c>
      <c r="AB99" s="14">
        <v>48721</v>
      </c>
      <c r="AC99" s="15" t="s">
        <v>256</v>
      </c>
      <c r="AD99" s="16">
        <v>79317</v>
      </c>
      <c r="AE99" s="14">
        <v>26392</v>
      </c>
      <c r="AF99" s="14">
        <v>17537</v>
      </c>
      <c r="AG99" s="14">
        <v>75113</v>
      </c>
      <c r="AH99" s="14" t="s">
        <v>17</v>
      </c>
      <c r="AI99" s="15" t="s">
        <v>29</v>
      </c>
      <c r="AJ99" s="14">
        <v>0</v>
      </c>
      <c r="AK99" s="14">
        <v>1</v>
      </c>
      <c r="AL99" s="14">
        <v>0</v>
      </c>
      <c r="AM99" s="51">
        <v>141112</v>
      </c>
      <c r="AN99" s="51">
        <v>106975</v>
      </c>
      <c r="AO99" s="51">
        <v>15050</v>
      </c>
      <c r="AP99" s="51">
        <v>15428</v>
      </c>
      <c r="AQ99" s="51">
        <v>2696</v>
      </c>
      <c r="AR99" s="51">
        <v>260</v>
      </c>
      <c r="AS99" s="51">
        <v>147</v>
      </c>
      <c r="AT99" s="51">
        <v>556</v>
      </c>
      <c r="AU99" s="51">
        <v>69273</v>
      </c>
      <c r="AV99" s="51">
        <v>71839</v>
      </c>
      <c r="AW99" s="51">
        <v>56451</v>
      </c>
      <c r="AX99" s="51">
        <v>84661</v>
      </c>
      <c r="AY99" s="14">
        <v>36650.666666666664</v>
      </c>
      <c r="AZ99" s="14">
        <v>206744</v>
      </c>
      <c r="BA99" s="14">
        <v>78</v>
      </c>
      <c r="BB99" s="14">
        <v>434</v>
      </c>
      <c r="BC99" s="14">
        <v>206232</v>
      </c>
      <c r="BD99" s="14">
        <v>158765</v>
      </c>
      <c r="BE99" s="11">
        <f>Table14[[#This Row],[Melayu_Voters_GE15]]/Table14[[#This Row],[All_Voters_GE15]]</f>
        <v>0.76793038733893126</v>
      </c>
      <c r="BF99" s="14">
        <v>22402</v>
      </c>
      <c r="BG99" s="11">
        <f>Table14[[#This Row],[Chinese_Voters_GE15]]/Table14[[#This Row],[All_Voters_GE15]]</f>
        <v>0.10835622799210617</v>
      </c>
      <c r="BH99" s="14">
        <v>22878</v>
      </c>
      <c r="BI99" s="11">
        <f>Table14[[#This Row],[India_Voters_GE15]]/Table14[[#This Row],[All_Voters_GE15]]</f>
        <v>0.11065859226869945</v>
      </c>
      <c r="BJ99" s="14">
        <v>1049</v>
      </c>
      <c r="BK99" s="14">
        <v>533</v>
      </c>
      <c r="BL99" s="14">
        <v>311</v>
      </c>
      <c r="BM99" s="14">
        <v>806</v>
      </c>
      <c r="BN99" s="14">
        <f>Table14[[#This Row],[Lain_Voters_GE15]]+Table14[[#This Row],[Swak_Voters_GE15]]+Table14[[#This Row],[Sabah_Voters_GE15]]+Table14[[#This Row],[OA_Voters_GE15]]</f>
        <v>2699</v>
      </c>
      <c r="BO99" s="11">
        <f>Table14[[#This Row],[Base_Stock_GE15]]/Table14[[#This Row],[All_Voters_GE15]]</f>
        <v>0.25061428626707427</v>
      </c>
      <c r="BP99" s="14">
        <v>20639</v>
      </c>
      <c r="BQ99" s="10">
        <v>70533</v>
      </c>
      <c r="BR99" s="44">
        <v>37064</v>
      </c>
      <c r="BS99" s="10">
        <v>12460</v>
      </c>
      <c r="BT99" s="10">
        <v>97075</v>
      </c>
      <c r="BU99" s="10">
        <v>63744</v>
      </c>
      <c r="BV99" s="10">
        <v>33465</v>
      </c>
      <c r="BW99" s="10">
        <f t="shared" si="25"/>
        <v>109535</v>
      </c>
      <c r="BX99" s="10">
        <f t="shared" si="26"/>
        <v>97209</v>
      </c>
      <c r="BY99" s="14">
        <v>218385</v>
      </c>
      <c r="BZ99" s="14">
        <v>0</v>
      </c>
      <c r="CA99" s="14">
        <v>428</v>
      </c>
      <c r="CB99" s="14">
        <v>217957</v>
      </c>
      <c r="CC99" s="14">
        <v>169124</v>
      </c>
      <c r="CD99" s="14">
        <v>23578</v>
      </c>
      <c r="CE99" s="14">
        <v>22312</v>
      </c>
      <c r="CF99" s="14">
        <v>1125</v>
      </c>
      <c r="CG99" s="14">
        <v>622</v>
      </c>
      <c r="CH99" s="14">
        <v>439</v>
      </c>
      <c r="CI99" s="14">
        <v>1185</v>
      </c>
      <c r="CJ99" s="14">
        <f t="shared" si="27"/>
        <v>3371</v>
      </c>
      <c r="CK99" s="14">
        <v>108015</v>
      </c>
      <c r="CL99" s="14">
        <v>110370</v>
      </c>
      <c r="CM99" s="14">
        <v>106944</v>
      </c>
      <c r="CN99" s="11">
        <f t="shared" si="28"/>
        <v>0.48970396318428461</v>
      </c>
      <c r="CO99" s="14">
        <v>111441</v>
      </c>
      <c r="CP99" s="11">
        <f t="shared" si="29"/>
        <v>0.51029603681571534</v>
      </c>
      <c r="CQ99" s="29">
        <v>13917</v>
      </c>
      <c r="CR99" s="29">
        <v>97532</v>
      </c>
      <c r="CS99" s="29">
        <v>66252</v>
      </c>
      <c r="CT99" s="29">
        <v>37063</v>
      </c>
      <c r="CU99" s="45">
        <v>35184</v>
      </c>
      <c r="CV99" s="45">
        <v>15313</v>
      </c>
      <c r="CW99" s="45">
        <v>14911</v>
      </c>
      <c r="CX99" s="45">
        <v>3800</v>
      </c>
      <c r="CY99" s="45">
        <v>1160</v>
      </c>
      <c r="CZ99" s="45">
        <v>191</v>
      </c>
      <c r="DA99" s="45">
        <v>191</v>
      </c>
      <c r="DB99" s="45">
        <v>189</v>
      </c>
      <c r="DC99" s="45">
        <v>139</v>
      </c>
    </row>
    <row r="100" spans="1:107" x14ac:dyDescent="0.35">
      <c r="A100" s="1" t="s">
        <v>649</v>
      </c>
      <c r="B100" s="5" t="s">
        <v>0</v>
      </c>
      <c r="C100" s="3" t="s">
        <v>693</v>
      </c>
      <c r="D100" s="4" t="s">
        <v>694</v>
      </c>
      <c r="E100" s="5">
        <v>2</v>
      </c>
      <c r="F100" s="5">
        <v>37</v>
      </c>
      <c r="G100" s="2">
        <v>0.79064976703072798</v>
      </c>
      <c r="H100" s="2" t="s">
        <v>1276</v>
      </c>
      <c r="I100" s="17" t="s">
        <v>121</v>
      </c>
      <c r="J10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RODZIAH ISMAIL </v>
      </c>
      <c r="K100" s="8">
        <v>11509</v>
      </c>
      <c r="L100" s="8" t="s">
        <v>77</v>
      </c>
      <c r="M100" s="7" t="s">
        <v>696</v>
      </c>
      <c r="N100" s="8">
        <v>56754</v>
      </c>
      <c r="O100" s="8" t="s">
        <v>23</v>
      </c>
      <c r="P100" s="7" t="s">
        <v>695</v>
      </c>
      <c r="Q100" s="8">
        <v>27073</v>
      </c>
      <c r="R100" s="8" t="s">
        <v>18</v>
      </c>
      <c r="S100" s="7" t="s">
        <v>697</v>
      </c>
      <c r="T100" s="10">
        <v>29681</v>
      </c>
      <c r="U100" s="10">
        <v>0</v>
      </c>
      <c r="V100" s="10">
        <v>1</v>
      </c>
      <c r="W100" s="10">
        <v>0</v>
      </c>
      <c r="X100" s="10">
        <v>26648</v>
      </c>
      <c r="Y100" s="12" t="s">
        <v>26</v>
      </c>
      <c r="Z100" s="12" t="s">
        <v>1277</v>
      </c>
      <c r="AA100" s="13" t="s">
        <v>698</v>
      </c>
      <c r="AB100" s="14">
        <v>41956</v>
      </c>
      <c r="AC100" s="15" t="s">
        <v>699</v>
      </c>
      <c r="AD100" s="16">
        <v>32792</v>
      </c>
      <c r="AE100" s="14">
        <v>12351</v>
      </c>
      <c r="AF100" s="14">
        <v>9598</v>
      </c>
      <c r="AG100" s="14">
        <v>54307</v>
      </c>
      <c r="AH100" s="14" t="s">
        <v>82</v>
      </c>
      <c r="AI100" s="15" t="s">
        <v>29</v>
      </c>
      <c r="AJ100" s="14">
        <v>0</v>
      </c>
      <c r="AK100" s="14">
        <v>1</v>
      </c>
      <c r="AL100" s="14">
        <v>0</v>
      </c>
      <c r="AM100" s="51">
        <v>91737</v>
      </c>
      <c r="AN100" s="51">
        <v>50234</v>
      </c>
      <c r="AO100" s="51">
        <v>31793</v>
      </c>
      <c r="AP100" s="51">
        <v>8179</v>
      </c>
      <c r="AQ100" s="51">
        <v>1186</v>
      </c>
      <c r="AR100" s="51">
        <v>239</v>
      </c>
      <c r="AS100" s="51">
        <v>98</v>
      </c>
      <c r="AT100" s="51">
        <v>8</v>
      </c>
      <c r="AU100" s="51">
        <v>44851</v>
      </c>
      <c r="AV100" s="51">
        <v>46886</v>
      </c>
      <c r="AW100" s="51">
        <v>35112</v>
      </c>
      <c r="AX100" s="51">
        <v>56625</v>
      </c>
      <c r="AY100" s="14">
        <v>21453.666666666668</v>
      </c>
      <c r="AZ100" s="14">
        <v>133494</v>
      </c>
      <c r="BA100" s="14">
        <v>41</v>
      </c>
      <c r="BB100" s="14">
        <v>305</v>
      </c>
      <c r="BC100" s="14">
        <v>133148</v>
      </c>
      <c r="BD100" s="14">
        <v>75333</v>
      </c>
      <c r="BE100" s="11">
        <f>Table14[[#This Row],[Melayu_Voters_GE15]]/Table14[[#This Row],[All_Voters_GE15]]</f>
        <v>0.56431749741561421</v>
      </c>
      <c r="BF100" s="14">
        <v>43034</v>
      </c>
      <c r="BG100" s="11">
        <f>Table14[[#This Row],[Chinese_Voters_GE15]]/Table14[[#This Row],[All_Voters_GE15]]</f>
        <v>0.32236654830928729</v>
      </c>
      <c r="BH100" s="14">
        <v>13347</v>
      </c>
      <c r="BI100" s="11">
        <f>Table14[[#This Row],[India_Voters_GE15]]/Table14[[#This Row],[All_Voters_GE15]]</f>
        <v>9.9982021663895013E-2</v>
      </c>
      <c r="BJ100" s="14">
        <v>19</v>
      </c>
      <c r="BK100" s="14">
        <v>592</v>
      </c>
      <c r="BL100" s="14">
        <v>331</v>
      </c>
      <c r="BM100" s="14">
        <v>838</v>
      </c>
      <c r="BN100" s="14">
        <f>Table14[[#This Row],[Lain_Voters_GE15]]+Table14[[#This Row],[Swak_Voters_GE15]]+Table14[[#This Row],[Sabah_Voters_GE15]]+Table14[[#This Row],[OA_Voters_GE15]]</f>
        <v>1780</v>
      </c>
      <c r="BO100" s="11">
        <f>Table14[[#This Row],[Base_Stock_GE15]]/Table14[[#This Row],[All_Voters_GE15]]</f>
        <v>0.19961945855244431</v>
      </c>
      <c r="BP100" s="14">
        <v>19346</v>
      </c>
      <c r="BQ100" s="10">
        <v>44160</v>
      </c>
      <c r="BR100" s="44">
        <v>23109</v>
      </c>
      <c r="BS100" s="10">
        <v>7699</v>
      </c>
      <c r="BT100" s="10">
        <v>59336</v>
      </c>
      <c r="BU100" s="10">
        <v>42895</v>
      </c>
      <c r="BV100" s="10">
        <v>23564</v>
      </c>
      <c r="BW100" s="10">
        <f t="shared" ref="BW100:BW125" si="30">BS100+BT100</f>
        <v>67035</v>
      </c>
      <c r="BX100" s="10">
        <f t="shared" ref="BX100:BX125" si="31">BU100+BV100</f>
        <v>66459</v>
      </c>
      <c r="BY100" s="14">
        <v>140464</v>
      </c>
      <c r="BZ100" s="14">
        <v>0</v>
      </c>
      <c r="CA100" s="14">
        <v>311</v>
      </c>
      <c r="CB100" s="14">
        <v>140153</v>
      </c>
      <c r="CC100" s="14">
        <v>81566</v>
      </c>
      <c r="CD100" s="14">
        <v>43772</v>
      </c>
      <c r="CE100" s="14">
        <v>12753</v>
      </c>
      <c r="CF100" s="14">
        <v>17</v>
      </c>
      <c r="CG100" s="14">
        <v>683</v>
      </c>
      <c r="CH100" s="14">
        <v>433</v>
      </c>
      <c r="CI100" s="14">
        <v>1240</v>
      </c>
      <c r="CJ100" s="14">
        <f t="shared" ref="CJ100:CJ125" si="32">SUM(CF100:CI100)</f>
        <v>2373</v>
      </c>
      <c r="CK100" s="14">
        <v>68987</v>
      </c>
      <c r="CL100" s="14">
        <v>71477</v>
      </c>
      <c r="CM100" s="14">
        <v>65243</v>
      </c>
      <c r="CN100" s="11">
        <f t="shared" ref="CN100:CN125" si="33">CM100/$BY100</f>
        <v>0.46448200250598021</v>
      </c>
      <c r="CO100" s="14">
        <v>75221</v>
      </c>
      <c r="CP100" s="11">
        <f t="shared" ref="CP100:CP125" si="34">CO100/$BY100</f>
        <v>0.53551799749401985</v>
      </c>
      <c r="CQ100" s="29">
        <v>8293</v>
      </c>
      <c r="CR100" s="29">
        <v>59807</v>
      </c>
      <c r="CS100" s="29">
        <v>44166</v>
      </c>
      <c r="CT100" s="29">
        <v>26160</v>
      </c>
      <c r="CU100" s="45">
        <v>14462</v>
      </c>
      <c r="CV100" s="45">
        <v>5834</v>
      </c>
      <c r="CW100" s="45">
        <v>6084</v>
      </c>
      <c r="CX100" s="45">
        <v>2046</v>
      </c>
      <c r="CY100" s="45">
        <v>498</v>
      </c>
      <c r="CZ100" s="45">
        <v>101</v>
      </c>
      <c r="DA100" s="45">
        <v>100</v>
      </c>
      <c r="DB100" s="45">
        <v>90</v>
      </c>
      <c r="DC100" s="45">
        <v>74</v>
      </c>
    </row>
    <row r="101" spans="1:107" x14ac:dyDescent="0.35">
      <c r="A101" s="1" t="s">
        <v>649</v>
      </c>
      <c r="B101" s="5" t="s">
        <v>0</v>
      </c>
      <c r="C101" s="3" t="s">
        <v>700</v>
      </c>
      <c r="D101" s="4" t="s">
        <v>701</v>
      </c>
      <c r="E101" s="5">
        <v>2</v>
      </c>
      <c r="F101" s="5">
        <v>34</v>
      </c>
      <c r="G101" s="2">
        <v>0.78313722853492906</v>
      </c>
      <c r="H101" s="2" t="s">
        <v>1276</v>
      </c>
      <c r="I101" s="17" t="s">
        <v>121</v>
      </c>
      <c r="J10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RAFIZI RAMLI </v>
      </c>
      <c r="K101" s="8">
        <v>11664</v>
      </c>
      <c r="L101" s="8" t="s">
        <v>77</v>
      </c>
      <c r="M101" s="7" t="s">
        <v>703</v>
      </c>
      <c r="N101" s="8">
        <v>74002</v>
      </c>
      <c r="O101" s="8" t="s">
        <v>23</v>
      </c>
      <c r="P101" s="7" t="s">
        <v>702</v>
      </c>
      <c r="Q101" s="8">
        <v>25706</v>
      </c>
      <c r="R101" s="8" t="s">
        <v>18</v>
      </c>
      <c r="S101" s="7" t="s">
        <v>704</v>
      </c>
      <c r="T101" s="10">
        <v>48296</v>
      </c>
      <c r="U101" s="10">
        <v>0</v>
      </c>
      <c r="V101" s="10">
        <v>1</v>
      </c>
      <c r="W101" s="10">
        <v>0</v>
      </c>
      <c r="X101" s="10">
        <v>24036</v>
      </c>
      <c r="Y101" s="12" t="s">
        <v>26</v>
      </c>
      <c r="Z101" s="12" t="s">
        <v>1277</v>
      </c>
      <c r="AA101" s="13" t="s">
        <v>705</v>
      </c>
      <c r="AB101" s="14">
        <v>52543</v>
      </c>
      <c r="AC101" s="15" t="s">
        <v>256</v>
      </c>
      <c r="AD101" s="16">
        <v>38636</v>
      </c>
      <c r="AE101" s="14">
        <v>12190</v>
      </c>
      <c r="AF101" s="14">
        <v>8336</v>
      </c>
      <c r="AG101" s="14">
        <v>64733</v>
      </c>
      <c r="AH101" s="14" t="s">
        <v>82</v>
      </c>
      <c r="AI101" s="15" t="s">
        <v>29</v>
      </c>
      <c r="AJ101" s="14">
        <v>0</v>
      </c>
      <c r="AK101" s="14">
        <v>1</v>
      </c>
      <c r="AL101" s="14">
        <v>0</v>
      </c>
      <c r="AM101" s="51">
        <v>101319</v>
      </c>
      <c r="AN101" s="51">
        <v>46156</v>
      </c>
      <c r="AO101" s="51">
        <v>46558</v>
      </c>
      <c r="AP101" s="51">
        <v>7317</v>
      </c>
      <c r="AQ101" s="51">
        <v>751</v>
      </c>
      <c r="AR101" s="51">
        <v>390</v>
      </c>
      <c r="AS101" s="51">
        <v>138</v>
      </c>
      <c r="AT101" s="51">
        <v>9</v>
      </c>
      <c r="AU101" s="51">
        <v>49465</v>
      </c>
      <c r="AV101" s="51">
        <v>51854</v>
      </c>
      <c r="AW101" s="51">
        <v>39909</v>
      </c>
      <c r="AX101" s="51">
        <v>61410</v>
      </c>
      <c r="AY101" s="14">
        <v>19626.666666666668</v>
      </c>
      <c r="AZ101" s="14">
        <v>148730</v>
      </c>
      <c r="BA101" s="14">
        <v>36</v>
      </c>
      <c r="BB101" s="14">
        <v>574</v>
      </c>
      <c r="BC101" s="14">
        <v>148120</v>
      </c>
      <c r="BD101" s="14">
        <v>64623</v>
      </c>
      <c r="BE101" s="11">
        <f>Table14[[#This Row],[Melayu_Voters_GE15]]/Table14[[#This Row],[All_Voters_GE15]]</f>
        <v>0.43449875613527872</v>
      </c>
      <c r="BF101" s="14">
        <v>69937</v>
      </c>
      <c r="BG101" s="11">
        <f>Table14[[#This Row],[Chinese_Voters_GE15]]/Table14[[#This Row],[All_Voters_GE15]]</f>
        <v>0.47022792980568817</v>
      </c>
      <c r="BH101" s="14">
        <v>12012</v>
      </c>
      <c r="BI101" s="11">
        <f>Table14[[#This Row],[India_Voters_GE15]]/Table14[[#This Row],[All_Voters_GE15]]</f>
        <v>8.0763800174813424E-2</v>
      </c>
      <c r="BJ101" s="14">
        <v>29</v>
      </c>
      <c r="BK101" s="14">
        <v>1136</v>
      </c>
      <c r="BL101" s="14">
        <v>457</v>
      </c>
      <c r="BM101" s="14">
        <v>536</v>
      </c>
      <c r="BN101" s="14">
        <f>Table14[[#This Row],[Lain_Voters_GE15]]+Table14[[#This Row],[Swak_Voters_GE15]]+Table14[[#This Row],[Sabah_Voters_GE15]]+Table14[[#This Row],[OA_Voters_GE15]]</f>
        <v>2158</v>
      </c>
      <c r="BO101" s="11">
        <f>Table14[[#This Row],[Base_Stock_GE15]]/Table14[[#This Row],[All_Voters_GE15]]</f>
        <v>0.1616082834666846</v>
      </c>
      <c r="BP101" s="14">
        <v>16267</v>
      </c>
      <c r="BQ101" s="10">
        <v>49652</v>
      </c>
      <c r="BR101" s="44">
        <v>23383</v>
      </c>
      <c r="BS101" s="10">
        <v>7536</v>
      </c>
      <c r="BT101" s="10">
        <v>66647</v>
      </c>
      <c r="BU101" s="10">
        <v>50628</v>
      </c>
      <c r="BV101" s="10">
        <v>23919</v>
      </c>
      <c r="BW101" s="10">
        <f t="shared" si="30"/>
        <v>74183</v>
      </c>
      <c r="BX101" s="10">
        <f t="shared" si="31"/>
        <v>74547</v>
      </c>
      <c r="BY101" s="14">
        <v>155790</v>
      </c>
      <c r="BZ101" s="14">
        <v>0</v>
      </c>
      <c r="CA101" s="14">
        <v>439</v>
      </c>
      <c r="CB101" s="14">
        <v>155351</v>
      </c>
      <c r="CC101" s="14">
        <v>68262</v>
      </c>
      <c r="CD101" s="14">
        <v>73299</v>
      </c>
      <c r="CE101" s="14">
        <v>11593</v>
      </c>
      <c r="CF101" s="14">
        <v>29</v>
      </c>
      <c r="CG101" s="14">
        <v>1294</v>
      </c>
      <c r="CH101" s="14">
        <v>516</v>
      </c>
      <c r="CI101" s="14">
        <v>797</v>
      </c>
      <c r="CJ101" s="14">
        <f t="shared" si="32"/>
        <v>2636</v>
      </c>
      <c r="CK101" s="14">
        <v>76435</v>
      </c>
      <c r="CL101" s="14">
        <v>79355</v>
      </c>
      <c r="CM101" s="14">
        <v>69999</v>
      </c>
      <c r="CN101" s="11">
        <f t="shared" si="33"/>
        <v>0.44931638744463703</v>
      </c>
      <c r="CO101" s="14">
        <v>85791</v>
      </c>
      <c r="CP101" s="11">
        <f t="shared" si="34"/>
        <v>0.55068361255536302</v>
      </c>
      <c r="CQ101" s="29">
        <v>8207</v>
      </c>
      <c r="CR101" s="29">
        <v>65599</v>
      </c>
      <c r="CS101" s="29">
        <v>51872</v>
      </c>
      <c r="CT101" s="29">
        <v>27849</v>
      </c>
      <c r="CU101" s="45">
        <v>11385</v>
      </c>
      <c r="CV101" s="45">
        <v>4392</v>
      </c>
      <c r="CW101" s="45">
        <v>4947</v>
      </c>
      <c r="CX101" s="45">
        <v>1505</v>
      </c>
      <c r="CY101" s="45">
        <v>541</v>
      </c>
      <c r="CZ101" s="45">
        <v>82</v>
      </c>
      <c r="DA101" s="45">
        <v>82</v>
      </c>
      <c r="DB101" s="45">
        <v>80</v>
      </c>
      <c r="DC101" s="45">
        <v>69</v>
      </c>
    </row>
    <row r="102" spans="1:107" x14ac:dyDescent="0.35">
      <c r="A102" s="1" t="s">
        <v>649</v>
      </c>
      <c r="B102" s="5" t="s">
        <v>0</v>
      </c>
      <c r="C102" s="3" t="s">
        <v>706</v>
      </c>
      <c r="D102" s="4" t="s">
        <v>707</v>
      </c>
      <c r="E102" s="5">
        <v>2</v>
      </c>
      <c r="F102" s="5">
        <v>41</v>
      </c>
      <c r="G102" s="2">
        <v>0.82887562761380928</v>
      </c>
      <c r="H102" s="2" t="s">
        <v>1276</v>
      </c>
      <c r="I102" s="17" t="s">
        <v>121</v>
      </c>
      <c r="J10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YB MOHD SANY HAMZAN </v>
      </c>
      <c r="K102" s="8">
        <v>32570</v>
      </c>
      <c r="L102" s="8" t="s">
        <v>8</v>
      </c>
      <c r="M102" s="7" t="s">
        <v>709</v>
      </c>
      <c r="N102" s="8">
        <v>58382</v>
      </c>
      <c r="O102" s="8" t="s">
        <v>214</v>
      </c>
      <c r="P102" s="7" t="s">
        <v>708</v>
      </c>
      <c r="Q102" s="8">
        <v>43486</v>
      </c>
      <c r="R102" s="8" t="s">
        <v>18</v>
      </c>
      <c r="S102" s="7" t="s">
        <v>710</v>
      </c>
      <c r="T102" s="10">
        <v>14896</v>
      </c>
      <c r="U102" s="10">
        <v>0</v>
      </c>
      <c r="V102" s="10">
        <v>1</v>
      </c>
      <c r="W102" s="10">
        <v>0</v>
      </c>
      <c r="X102" s="10">
        <v>61085</v>
      </c>
      <c r="Y102" s="12" t="s">
        <v>72</v>
      </c>
      <c r="Z102" s="12" t="s">
        <v>1277</v>
      </c>
      <c r="AA102" s="13" t="s">
        <v>711</v>
      </c>
      <c r="AB102" s="14">
        <v>25424</v>
      </c>
      <c r="AC102" s="15" t="s">
        <v>263</v>
      </c>
      <c r="AD102" s="16">
        <v>58397</v>
      </c>
      <c r="AE102" s="14">
        <v>23580</v>
      </c>
      <c r="AF102" s="14">
        <v>15663</v>
      </c>
      <c r="AG102" s="14">
        <v>49004</v>
      </c>
      <c r="AH102" s="14" t="s">
        <v>17</v>
      </c>
      <c r="AI102" s="15" t="s">
        <v>10</v>
      </c>
      <c r="AJ102" s="14">
        <v>0</v>
      </c>
      <c r="AK102" s="14">
        <v>1</v>
      </c>
      <c r="AL102" s="14">
        <v>0</v>
      </c>
      <c r="AM102" s="51">
        <v>102363</v>
      </c>
      <c r="AN102" s="51">
        <v>66460</v>
      </c>
      <c r="AO102" s="51">
        <v>22598</v>
      </c>
      <c r="AP102" s="51">
        <v>10826</v>
      </c>
      <c r="AQ102" s="51">
        <v>1053</v>
      </c>
      <c r="AR102" s="51">
        <v>413</v>
      </c>
      <c r="AS102" s="51">
        <v>249</v>
      </c>
      <c r="AT102" s="51">
        <v>764</v>
      </c>
      <c r="AU102" s="51">
        <v>51190</v>
      </c>
      <c r="AV102" s="51">
        <v>51173</v>
      </c>
      <c r="AW102" s="51">
        <v>43864</v>
      </c>
      <c r="AX102" s="51">
        <v>58499</v>
      </c>
      <c r="AY102" s="14">
        <v>34939.666666666664</v>
      </c>
      <c r="AZ102" s="14">
        <v>166902</v>
      </c>
      <c r="BA102" s="14">
        <v>36</v>
      </c>
      <c r="BB102" s="14">
        <v>3066</v>
      </c>
      <c r="BC102" s="14">
        <v>163800</v>
      </c>
      <c r="BD102" s="14">
        <v>110711</v>
      </c>
      <c r="BE102" s="11">
        <f>Table14[[#This Row],[Melayu_Voters_GE15]]/Table14[[#This Row],[All_Voters_GE15]]</f>
        <v>0.66332937891696919</v>
      </c>
      <c r="BF102" s="14">
        <v>34828</v>
      </c>
      <c r="BG102" s="11">
        <f>Table14[[#This Row],[Chinese_Voters_GE15]]/Table14[[#This Row],[All_Voters_GE15]]</f>
        <v>0.20867335322524594</v>
      </c>
      <c r="BH102" s="14">
        <v>18145</v>
      </c>
      <c r="BI102" s="11">
        <f>Table14[[#This Row],[India_Voters_GE15]]/Table14[[#This Row],[All_Voters_GE15]]</f>
        <v>0.10871649231285425</v>
      </c>
      <c r="BJ102" s="14">
        <v>1502</v>
      </c>
      <c r="BK102" s="14">
        <v>812</v>
      </c>
      <c r="BL102" s="14">
        <v>503</v>
      </c>
      <c r="BM102" s="14">
        <v>401</v>
      </c>
      <c r="BN102" s="14">
        <f>Table14[[#This Row],[Lain_Voters_GE15]]+Table14[[#This Row],[Swak_Voters_GE15]]+Table14[[#This Row],[Sabah_Voters_GE15]]+Table14[[#This Row],[OA_Voters_GE15]]</f>
        <v>3218</v>
      </c>
      <c r="BO102" s="11">
        <f>Table14[[#This Row],[Base_Stock_GE15]]/Table14[[#This Row],[All_Voters_GE15]]</f>
        <v>0.3659932175767816</v>
      </c>
      <c r="BP102" s="14">
        <v>45780</v>
      </c>
      <c r="BQ102" s="10">
        <v>64926</v>
      </c>
      <c r="BR102" s="44">
        <v>38653</v>
      </c>
      <c r="BS102" s="10">
        <v>13558</v>
      </c>
      <c r="BT102" s="10">
        <v>82642</v>
      </c>
      <c r="BU102" s="10">
        <v>49195</v>
      </c>
      <c r="BV102" s="10">
        <v>21507</v>
      </c>
      <c r="BW102" s="10">
        <f t="shared" si="30"/>
        <v>96200</v>
      </c>
      <c r="BX102" s="10">
        <f t="shared" si="31"/>
        <v>70702</v>
      </c>
      <c r="BY102" s="14">
        <v>186350</v>
      </c>
      <c r="BZ102" s="14">
        <v>0</v>
      </c>
      <c r="CA102" s="14">
        <v>3487</v>
      </c>
      <c r="CB102" s="14">
        <v>182863</v>
      </c>
      <c r="CC102" s="14">
        <v>125975</v>
      </c>
      <c r="CD102" s="14">
        <v>37703</v>
      </c>
      <c r="CE102" s="14">
        <v>18707</v>
      </c>
      <c r="CF102" s="14">
        <v>1647</v>
      </c>
      <c r="CG102" s="14">
        <v>947</v>
      </c>
      <c r="CH102" s="14">
        <v>647</v>
      </c>
      <c r="CI102" s="14">
        <v>724</v>
      </c>
      <c r="CJ102" s="14">
        <f t="shared" si="32"/>
        <v>3965</v>
      </c>
      <c r="CK102" s="14">
        <v>93078</v>
      </c>
      <c r="CL102" s="14">
        <v>93272</v>
      </c>
      <c r="CM102" s="14">
        <v>101856</v>
      </c>
      <c r="CN102" s="11">
        <f t="shared" si="33"/>
        <v>0.54658438422323585</v>
      </c>
      <c r="CO102" s="14">
        <v>84494</v>
      </c>
      <c r="CP102" s="11">
        <f t="shared" si="34"/>
        <v>0.45341561577676415</v>
      </c>
      <c r="CQ102" s="29">
        <v>15397</v>
      </c>
      <c r="CR102" s="29">
        <v>87556</v>
      </c>
      <c r="CS102" s="29">
        <v>52321</v>
      </c>
      <c r="CT102" s="29">
        <v>25066</v>
      </c>
      <c r="CU102" s="45">
        <v>17139</v>
      </c>
      <c r="CV102" s="45">
        <v>5978</v>
      </c>
      <c r="CW102" s="45">
        <v>6814</v>
      </c>
      <c r="CX102" s="45">
        <v>3106</v>
      </c>
      <c r="CY102" s="45">
        <v>1241</v>
      </c>
      <c r="CZ102" s="45">
        <v>125</v>
      </c>
      <c r="DA102" s="45">
        <v>125</v>
      </c>
      <c r="DB102" s="45">
        <v>123</v>
      </c>
      <c r="DC102" s="45">
        <v>115</v>
      </c>
    </row>
    <row r="103" spans="1:107" x14ac:dyDescent="0.35">
      <c r="A103" s="1" t="s">
        <v>649</v>
      </c>
      <c r="B103" s="5" t="s">
        <v>0</v>
      </c>
      <c r="C103" s="3" t="s">
        <v>712</v>
      </c>
      <c r="D103" s="4" t="s">
        <v>713</v>
      </c>
      <c r="E103" s="5">
        <v>3</v>
      </c>
      <c r="F103" s="5">
        <v>53</v>
      </c>
      <c r="G103" s="2">
        <v>0.81335069043931052</v>
      </c>
      <c r="H103" s="2" t="s">
        <v>1276</v>
      </c>
      <c r="I103" s="17" t="s">
        <v>121</v>
      </c>
      <c r="J10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SYAHREDZAN JOHAN </v>
      </c>
      <c r="K103" s="8">
        <v>25685</v>
      </c>
      <c r="L103" s="8" t="s">
        <v>77</v>
      </c>
      <c r="M103" s="7" t="s">
        <v>715</v>
      </c>
      <c r="N103" s="8">
        <v>141568</v>
      </c>
      <c r="O103" s="8" t="s">
        <v>102</v>
      </c>
      <c r="P103" s="7" t="s">
        <v>714</v>
      </c>
      <c r="Q103" s="8">
        <v>71867</v>
      </c>
      <c r="R103" s="8" t="s">
        <v>18</v>
      </c>
      <c r="S103" s="7" t="s">
        <v>716</v>
      </c>
      <c r="T103" s="10">
        <v>69701</v>
      </c>
      <c r="U103" s="10">
        <v>0</v>
      </c>
      <c r="V103" s="10">
        <v>1</v>
      </c>
      <c r="W103" s="10">
        <v>0</v>
      </c>
      <c r="X103" s="10">
        <v>56596</v>
      </c>
      <c r="Y103" s="12" t="s">
        <v>319</v>
      </c>
      <c r="Z103" s="12" t="s">
        <v>1277</v>
      </c>
      <c r="AA103" s="13" t="s">
        <v>717</v>
      </c>
      <c r="AB103" s="14">
        <v>68768</v>
      </c>
      <c r="AC103" s="15" t="s">
        <v>718</v>
      </c>
      <c r="AD103" s="16">
        <v>49390</v>
      </c>
      <c r="AE103" s="14">
        <v>19766</v>
      </c>
      <c r="AF103" s="14">
        <v>33789</v>
      </c>
      <c r="AG103" s="14">
        <v>102557</v>
      </c>
      <c r="AH103" s="14" t="s">
        <v>82</v>
      </c>
      <c r="AI103" s="15" t="s">
        <v>321</v>
      </c>
      <c r="AJ103" s="14">
        <v>0</v>
      </c>
      <c r="AK103" s="14">
        <v>1</v>
      </c>
      <c r="AL103" s="14">
        <v>0</v>
      </c>
      <c r="AM103" s="51">
        <v>178790</v>
      </c>
      <c r="AN103" s="51">
        <v>86607</v>
      </c>
      <c r="AO103" s="51">
        <v>69637</v>
      </c>
      <c r="AP103" s="51">
        <v>20114</v>
      </c>
      <c r="AQ103" s="51">
        <v>1419</v>
      </c>
      <c r="AR103" s="51">
        <v>656</v>
      </c>
      <c r="AS103" s="51">
        <v>337</v>
      </c>
      <c r="AT103" s="51">
        <v>20</v>
      </c>
      <c r="AU103" s="51">
        <v>86931</v>
      </c>
      <c r="AV103" s="51">
        <v>91859</v>
      </c>
      <c r="AW103" s="51">
        <v>76409</v>
      </c>
      <c r="AX103" s="51">
        <v>102381</v>
      </c>
      <c r="AY103" s="14">
        <v>27739</v>
      </c>
      <c r="AZ103" s="14">
        <v>303430</v>
      </c>
      <c r="BA103" s="14">
        <v>91</v>
      </c>
      <c r="BB103" s="14">
        <v>1289</v>
      </c>
      <c r="BC103" s="14">
        <v>302050</v>
      </c>
      <c r="BD103" s="14">
        <v>153239</v>
      </c>
      <c r="BE103" s="11">
        <f>Table14[[#This Row],[Melayu_Voters_GE15]]/Table14[[#This Row],[All_Voters_GE15]]</f>
        <v>0.50502257522328053</v>
      </c>
      <c r="BF103" s="14">
        <v>111791</v>
      </c>
      <c r="BG103" s="11">
        <f>Table14[[#This Row],[Chinese_Voters_GE15]]/Table14[[#This Row],[All_Voters_GE15]]</f>
        <v>0.36842434828461257</v>
      </c>
      <c r="BH103" s="14">
        <v>34306</v>
      </c>
      <c r="BI103" s="11">
        <f>Table14[[#This Row],[India_Voters_GE15]]/Table14[[#This Row],[All_Voters_GE15]]</f>
        <v>0.11306067297234947</v>
      </c>
      <c r="BJ103" s="14">
        <v>44</v>
      </c>
      <c r="BK103" s="14">
        <v>1880</v>
      </c>
      <c r="BL103" s="14">
        <v>1054</v>
      </c>
      <c r="BM103" s="14">
        <v>1116</v>
      </c>
      <c r="BN103" s="14">
        <f>Table14[[#This Row],[Lain_Voters_GE15]]+Table14[[#This Row],[Swak_Voters_GE15]]+Table14[[#This Row],[Sabah_Voters_GE15]]+Table14[[#This Row],[OA_Voters_GE15]]</f>
        <v>4094</v>
      </c>
      <c r="BO103" s="11">
        <f>Table14[[#This Row],[Base_Stock_GE15]]/Table14[[#This Row],[All_Voters_GE15]]</f>
        <v>0.18652077909237716</v>
      </c>
      <c r="BP103" s="14">
        <v>38739</v>
      </c>
      <c r="BQ103" s="10">
        <v>124081</v>
      </c>
      <c r="BR103" s="44">
        <v>68673</v>
      </c>
      <c r="BS103" s="10">
        <v>23746</v>
      </c>
      <c r="BT103" s="10">
        <v>150450</v>
      </c>
      <c r="BU103" s="10">
        <v>90838</v>
      </c>
      <c r="BV103" s="10">
        <v>38396</v>
      </c>
      <c r="BW103" s="10">
        <f t="shared" si="30"/>
        <v>174196</v>
      </c>
      <c r="BX103" s="10">
        <f t="shared" si="31"/>
        <v>129234</v>
      </c>
      <c r="BY103" s="14">
        <v>336625</v>
      </c>
      <c r="BZ103" s="14">
        <v>0</v>
      </c>
      <c r="CA103" s="14">
        <v>1461</v>
      </c>
      <c r="CB103" s="14">
        <v>335164</v>
      </c>
      <c r="CC103" s="14">
        <v>174288</v>
      </c>
      <c r="CD103" s="14">
        <v>121800</v>
      </c>
      <c r="CE103" s="14">
        <v>35270</v>
      </c>
      <c r="CF103" s="14">
        <v>55</v>
      </c>
      <c r="CG103" s="14">
        <v>2198</v>
      </c>
      <c r="CH103" s="14">
        <v>1405</v>
      </c>
      <c r="CI103" s="14">
        <v>1609</v>
      </c>
      <c r="CJ103" s="14">
        <f t="shared" si="32"/>
        <v>5267</v>
      </c>
      <c r="CK103" s="14">
        <v>165907</v>
      </c>
      <c r="CL103" s="14">
        <v>170718</v>
      </c>
      <c r="CM103" s="14">
        <v>180798</v>
      </c>
      <c r="CN103" s="11">
        <f t="shared" si="33"/>
        <v>0.53709023393984401</v>
      </c>
      <c r="CO103" s="14">
        <v>155827</v>
      </c>
      <c r="CP103" s="11">
        <f t="shared" si="34"/>
        <v>0.46290976606015594</v>
      </c>
      <c r="CQ103" s="29">
        <v>26257</v>
      </c>
      <c r="CR103" s="29">
        <v>157849</v>
      </c>
      <c r="CS103" s="29">
        <v>96611</v>
      </c>
      <c r="CT103" s="29">
        <v>46043</v>
      </c>
      <c r="CU103" s="45">
        <v>16568</v>
      </c>
      <c r="CV103" s="45">
        <v>6875</v>
      </c>
      <c r="CW103" s="45">
        <v>7103</v>
      </c>
      <c r="CX103" s="45">
        <v>2003</v>
      </c>
      <c r="CY103" s="45">
        <v>587</v>
      </c>
      <c r="CZ103" s="45">
        <v>114</v>
      </c>
      <c r="DA103" s="45">
        <v>114</v>
      </c>
      <c r="DB103" s="45">
        <v>112</v>
      </c>
      <c r="DC103" s="45">
        <v>74</v>
      </c>
    </row>
    <row r="104" spans="1:107" x14ac:dyDescent="0.35">
      <c r="A104" s="1" t="s">
        <v>649</v>
      </c>
      <c r="B104" s="5" t="s">
        <v>0</v>
      </c>
      <c r="C104" s="3" t="s">
        <v>719</v>
      </c>
      <c r="D104" s="4" t="s">
        <v>720</v>
      </c>
      <c r="E104" s="5">
        <v>2</v>
      </c>
      <c r="F104" s="5">
        <v>35</v>
      </c>
      <c r="G104" s="2">
        <v>0.80096950824605362</v>
      </c>
      <c r="H104" s="2" t="s">
        <v>1276</v>
      </c>
      <c r="I104" s="17" t="s">
        <v>121</v>
      </c>
      <c r="J10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YEO BEE YIN </v>
      </c>
      <c r="K104" s="8">
        <v>21468</v>
      </c>
      <c r="L104" s="8" t="s">
        <v>722</v>
      </c>
      <c r="M104" s="7" t="s">
        <v>723</v>
      </c>
      <c r="N104" s="8">
        <v>79425</v>
      </c>
      <c r="O104" s="8" t="s">
        <v>102</v>
      </c>
      <c r="P104" s="7" t="s">
        <v>721</v>
      </c>
      <c r="Q104" s="8">
        <v>18263</v>
      </c>
      <c r="R104" s="8" t="s">
        <v>724</v>
      </c>
      <c r="S104" s="7" t="s">
        <v>725</v>
      </c>
      <c r="T104" s="10">
        <v>57957</v>
      </c>
      <c r="U104" s="10">
        <v>0</v>
      </c>
      <c r="V104" s="10">
        <v>1</v>
      </c>
      <c r="W104" s="10">
        <v>0</v>
      </c>
      <c r="X104" s="10">
        <v>18611</v>
      </c>
      <c r="Y104" s="12" t="s">
        <v>319</v>
      </c>
      <c r="Z104" s="12" t="s">
        <v>1277</v>
      </c>
      <c r="AA104" s="13" t="s">
        <v>726</v>
      </c>
      <c r="AB104" s="14">
        <v>47635</v>
      </c>
      <c r="AC104" s="15" t="s">
        <v>263</v>
      </c>
      <c r="AD104" s="16">
        <v>26581</v>
      </c>
      <c r="AE104" s="14">
        <v>12794</v>
      </c>
      <c r="AF104" s="14">
        <v>10255</v>
      </c>
      <c r="AG104" s="14">
        <v>60429</v>
      </c>
      <c r="AH104" s="14" t="s">
        <v>339</v>
      </c>
      <c r="AI104" s="15" t="s">
        <v>321</v>
      </c>
      <c r="AJ104" s="14">
        <v>0</v>
      </c>
      <c r="AK104" s="14">
        <v>1</v>
      </c>
      <c r="AL104" s="14">
        <v>0</v>
      </c>
      <c r="AM104" s="51">
        <v>96437</v>
      </c>
      <c r="AN104" s="51">
        <v>35461</v>
      </c>
      <c r="AO104" s="51">
        <v>50131</v>
      </c>
      <c r="AP104" s="51">
        <v>9735</v>
      </c>
      <c r="AQ104" s="51">
        <v>403</v>
      </c>
      <c r="AR104" s="51">
        <v>423</v>
      </c>
      <c r="AS104" s="51">
        <v>139</v>
      </c>
      <c r="AT104" s="51">
        <v>145</v>
      </c>
      <c r="AU104" s="51">
        <v>47883</v>
      </c>
      <c r="AV104" s="51">
        <v>48554</v>
      </c>
      <c r="AW104" s="51">
        <v>35637</v>
      </c>
      <c r="AX104" s="51">
        <v>60800</v>
      </c>
      <c r="AY104" s="14">
        <v>21805.333333333332</v>
      </c>
      <c r="AZ104" s="14">
        <v>152861</v>
      </c>
      <c r="BA104" s="14">
        <v>24</v>
      </c>
      <c r="BB104" s="14">
        <v>411</v>
      </c>
      <c r="BC104" s="14">
        <v>152426</v>
      </c>
      <c r="BD104" s="14">
        <v>58384</v>
      </c>
      <c r="BE104" s="11">
        <f>Table14[[#This Row],[Melayu_Voters_GE15]]/Table14[[#This Row],[All_Voters_GE15]]</f>
        <v>0.3819417640863268</v>
      </c>
      <c r="BF104" s="14">
        <v>75296</v>
      </c>
      <c r="BG104" s="11">
        <f>Table14[[#This Row],[Chinese_Voters_GE15]]/Table14[[#This Row],[All_Voters_GE15]]</f>
        <v>0.49257822466162071</v>
      </c>
      <c r="BH104" s="14">
        <v>16900</v>
      </c>
      <c r="BI104" s="11">
        <f>Table14[[#This Row],[India_Voters_GE15]]/Table14[[#This Row],[All_Voters_GE15]]</f>
        <v>0.11055795788330575</v>
      </c>
      <c r="BJ104" s="14">
        <v>283</v>
      </c>
      <c r="BK104" s="14">
        <v>1074</v>
      </c>
      <c r="BL104" s="14">
        <v>479</v>
      </c>
      <c r="BM104" s="14">
        <v>445</v>
      </c>
      <c r="BN104" s="14">
        <f>Table14[[#This Row],[Lain_Voters_GE15]]+Table14[[#This Row],[Swak_Voters_GE15]]+Table14[[#This Row],[Sabah_Voters_GE15]]+Table14[[#This Row],[OA_Voters_GE15]]</f>
        <v>2281</v>
      </c>
      <c r="BO104" s="11">
        <f>Table14[[#This Row],[Base_Stock_GE15]]/Table14[[#This Row],[All_Voters_GE15]]</f>
        <v>0.12175113338261558</v>
      </c>
      <c r="BP104" s="14">
        <v>11761</v>
      </c>
      <c r="BQ104" s="10">
        <v>57452</v>
      </c>
      <c r="BR104" s="44">
        <v>31343</v>
      </c>
      <c r="BS104" s="10">
        <v>10556</v>
      </c>
      <c r="BT104" s="10">
        <v>68656</v>
      </c>
      <c r="BU104" s="10">
        <v>52027</v>
      </c>
      <c r="BV104" s="10">
        <v>21622</v>
      </c>
      <c r="BW104" s="10">
        <f t="shared" si="30"/>
        <v>79212</v>
      </c>
      <c r="BX104" s="10">
        <f t="shared" si="31"/>
        <v>73649</v>
      </c>
      <c r="BY104" s="14">
        <v>167705</v>
      </c>
      <c r="BZ104" s="14">
        <v>0</v>
      </c>
      <c r="CA104" s="14">
        <v>315</v>
      </c>
      <c r="CB104" s="14">
        <v>167390</v>
      </c>
      <c r="CC104" s="14">
        <v>65966</v>
      </c>
      <c r="CD104" s="14">
        <v>81410</v>
      </c>
      <c r="CE104" s="14">
        <v>17532</v>
      </c>
      <c r="CF104" s="14">
        <v>303</v>
      </c>
      <c r="CG104" s="14">
        <v>1236</v>
      </c>
      <c r="CH104" s="14">
        <v>621</v>
      </c>
      <c r="CI104" s="14">
        <v>637</v>
      </c>
      <c r="CJ104" s="14">
        <f t="shared" si="32"/>
        <v>2797</v>
      </c>
      <c r="CK104" s="14">
        <v>83553</v>
      </c>
      <c r="CL104" s="14">
        <v>84152</v>
      </c>
      <c r="CM104" s="14">
        <v>81722</v>
      </c>
      <c r="CN104" s="11">
        <f t="shared" si="33"/>
        <v>0.48729614501654689</v>
      </c>
      <c r="CO104" s="14">
        <v>85983</v>
      </c>
      <c r="CP104" s="11">
        <f t="shared" si="34"/>
        <v>0.51270385498345306</v>
      </c>
      <c r="CQ104" s="29">
        <v>12575</v>
      </c>
      <c r="CR104" s="29">
        <v>70603</v>
      </c>
      <c r="CS104" s="29">
        <v>54782</v>
      </c>
      <c r="CT104" s="29">
        <v>25179</v>
      </c>
      <c r="CU104" s="45">
        <v>14520</v>
      </c>
      <c r="CV104" s="45">
        <v>6125</v>
      </c>
      <c r="CW104" s="45">
        <v>5939</v>
      </c>
      <c r="CX104" s="45">
        <v>1638</v>
      </c>
      <c r="CY104" s="45">
        <v>818</v>
      </c>
      <c r="CZ104" s="45">
        <v>69</v>
      </c>
      <c r="DA104" s="45">
        <v>69</v>
      </c>
      <c r="DB104" s="45">
        <v>69</v>
      </c>
      <c r="DC104" s="45">
        <v>63</v>
      </c>
    </row>
    <row r="105" spans="1:107" x14ac:dyDescent="0.35">
      <c r="A105" s="1" t="s">
        <v>649</v>
      </c>
      <c r="B105" s="5" t="s">
        <v>0</v>
      </c>
      <c r="C105" s="3" t="s">
        <v>727</v>
      </c>
      <c r="D105" s="4" t="s">
        <v>728</v>
      </c>
      <c r="E105" s="5">
        <v>2</v>
      </c>
      <c r="F105" s="5">
        <v>49</v>
      </c>
      <c r="G105" s="2">
        <v>0.77759591235818826</v>
      </c>
      <c r="H105" s="2" t="s">
        <v>1276</v>
      </c>
      <c r="I105" s="17" t="s">
        <v>121</v>
      </c>
      <c r="J10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WONG CHEN </v>
      </c>
      <c r="K105" s="8">
        <v>16539</v>
      </c>
      <c r="L105" s="8" t="s">
        <v>77</v>
      </c>
      <c r="M105" s="7" t="s">
        <v>730</v>
      </c>
      <c r="N105" s="8">
        <v>138259</v>
      </c>
      <c r="O105" s="8" t="s">
        <v>23</v>
      </c>
      <c r="P105" s="7" t="s">
        <v>729</v>
      </c>
      <c r="Q105" s="8">
        <v>23185</v>
      </c>
      <c r="R105" s="8" t="s">
        <v>339</v>
      </c>
      <c r="S105" s="7" t="s">
        <v>731</v>
      </c>
      <c r="T105" s="10">
        <v>115074</v>
      </c>
      <c r="U105" s="10">
        <v>0</v>
      </c>
      <c r="V105" s="10">
        <v>1</v>
      </c>
      <c r="W105" s="10">
        <v>0</v>
      </c>
      <c r="X105" s="10">
        <v>20677</v>
      </c>
      <c r="Y105" s="12" t="s">
        <v>26</v>
      </c>
      <c r="Z105" s="12" t="s">
        <v>1277</v>
      </c>
      <c r="AA105" s="13" t="s">
        <v>732</v>
      </c>
      <c r="AB105" s="14">
        <v>92353</v>
      </c>
      <c r="AC105" s="15" t="s">
        <v>733</v>
      </c>
      <c r="AD105" s="16">
        <v>24423</v>
      </c>
      <c r="AE105" s="14">
        <v>12077</v>
      </c>
      <c r="AF105" s="14">
        <v>9025</v>
      </c>
      <c r="AG105" s="14">
        <v>104430</v>
      </c>
      <c r="AH105" s="14" t="s">
        <v>82</v>
      </c>
      <c r="AI105" s="15" t="s">
        <v>29</v>
      </c>
      <c r="AJ105" s="14">
        <v>0</v>
      </c>
      <c r="AK105" s="14">
        <v>1</v>
      </c>
      <c r="AL105" s="14">
        <v>0</v>
      </c>
      <c r="AM105" s="51">
        <v>146422</v>
      </c>
      <c r="AN105" s="51">
        <v>38906</v>
      </c>
      <c r="AO105" s="51">
        <v>82718</v>
      </c>
      <c r="AP105" s="51">
        <v>22545</v>
      </c>
      <c r="AQ105" s="51">
        <v>1169</v>
      </c>
      <c r="AR105" s="51">
        <v>709</v>
      </c>
      <c r="AS105" s="51">
        <v>363</v>
      </c>
      <c r="AT105" s="51">
        <v>12</v>
      </c>
      <c r="AU105" s="51">
        <v>71701</v>
      </c>
      <c r="AV105" s="51">
        <v>74721</v>
      </c>
      <c r="AW105" s="51">
        <v>52729</v>
      </c>
      <c r="AX105" s="51">
        <v>93693</v>
      </c>
      <c r="AY105" s="14">
        <v>21769</v>
      </c>
      <c r="AZ105" s="14">
        <v>230940</v>
      </c>
      <c r="BA105" s="14">
        <v>99</v>
      </c>
      <c r="BB105" s="14">
        <v>1704</v>
      </c>
      <c r="BC105" s="14">
        <v>229137</v>
      </c>
      <c r="BD105" s="14">
        <v>61856</v>
      </c>
      <c r="BE105" s="11">
        <f>Table14[[#This Row],[Melayu_Voters_GE15]]/Table14[[#This Row],[All_Voters_GE15]]</f>
        <v>0.26784446176496057</v>
      </c>
      <c r="BF105" s="14">
        <v>124755</v>
      </c>
      <c r="BG105" s="11">
        <f>Table14[[#This Row],[Chinese_Voters_GE15]]/Table14[[#This Row],[All_Voters_GE15]]</f>
        <v>0.54020524811639392</v>
      </c>
      <c r="BH105" s="14">
        <v>39679</v>
      </c>
      <c r="BI105" s="11">
        <f>Table14[[#This Row],[India_Voters_GE15]]/Table14[[#This Row],[All_Voters_GE15]]</f>
        <v>0.17181519009266477</v>
      </c>
      <c r="BJ105" s="14">
        <v>33</v>
      </c>
      <c r="BK105" s="14">
        <v>1885</v>
      </c>
      <c r="BL105" s="14">
        <v>1042</v>
      </c>
      <c r="BM105" s="14">
        <v>1690</v>
      </c>
      <c r="BN105" s="14">
        <f>Table14[[#This Row],[Lain_Voters_GE15]]+Table14[[#This Row],[Swak_Voters_GE15]]+Table14[[#This Row],[Sabah_Voters_GE15]]+Table14[[#This Row],[OA_Voters_GE15]]</f>
        <v>4650</v>
      </c>
      <c r="BO105" s="11">
        <f>Table14[[#This Row],[Base_Stock_GE15]]/Table14[[#This Row],[All_Voters_GE15]]</f>
        <v>8.953407811552784E-2</v>
      </c>
      <c r="BP105" s="14">
        <v>12780</v>
      </c>
      <c r="BQ105" s="10">
        <v>84948</v>
      </c>
      <c r="BR105" s="44">
        <v>41200</v>
      </c>
      <c r="BS105" s="10">
        <v>13845</v>
      </c>
      <c r="BT105" s="10">
        <v>100184</v>
      </c>
      <c r="BU105" s="10">
        <v>78411</v>
      </c>
      <c r="BV105" s="10">
        <v>38500</v>
      </c>
      <c r="BW105" s="10">
        <f t="shared" si="30"/>
        <v>114029</v>
      </c>
      <c r="BX105" s="10">
        <f t="shared" si="31"/>
        <v>116911</v>
      </c>
      <c r="BY105" s="14">
        <v>250251</v>
      </c>
      <c r="BZ105" s="14">
        <v>0</v>
      </c>
      <c r="CA105" s="14">
        <v>1783</v>
      </c>
      <c r="CB105" s="14">
        <v>248468</v>
      </c>
      <c r="CC105" s="14">
        <v>68024</v>
      </c>
      <c r="CD105" s="14">
        <v>135376</v>
      </c>
      <c r="CE105" s="14">
        <v>40956</v>
      </c>
      <c r="CF105" s="14">
        <v>45</v>
      </c>
      <c r="CG105" s="14">
        <v>2205</v>
      </c>
      <c r="CH105" s="14">
        <v>1237</v>
      </c>
      <c r="CI105" s="14">
        <v>2408</v>
      </c>
      <c r="CJ105" s="14">
        <f t="shared" si="32"/>
        <v>5895</v>
      </c>
      <c r="CK105" s="14">
        <v>122803</v>
      </c>
      <c r="CL105" s="14">
        <v>127448</v>
      </c>
      <c r="CM105" s="14">
        <v>113741</v>
      </c>
      <c r="CN105" s="11">
        <f t="shared" si="33"/>
        <v>0.45450767429500782</v>
      </c>
      <c r="CO105" s="14">
        <v>136510</v>
      </c>
      <c r="CP105" s="11">
        <f t="shared" si="34"/>
        <v>0.54549232570499218</v>
      </c>
      <c r="CQ105" s="29">
        <v>14735</v>
      </c>
      <c r="CR105" s="29">
        <v>102689</v>
      </c>
      <c r="CS105" s="29">
        <v>80055</v>
      </c>
      <c r="CT105" s="29">
        <v>46589</v>
      </c>
      <c r="CU105" s="45">
        <v>10960</v>
      </c>
      <c r="CV105" s="45">
        <v>4504</v>
      </c>
      <c r="CW105" s="45">
        <v>4467</v>
      </c>
      <c r="CX105" s="45">
        <v>1408</v>
      </c>
      <c r="CY105" s="45">
        <v>581</v>
      </c>
      <c r="CZ105" s="45">
        <v>67</v>
      </c>
      <c r="DA105" s="45">
        <v>67</v>
      </c>
      <c r="DB105" s="45">
        <v>67</v>
      </c>
      <c r="DC105" s="45">
        <v>61</v>
      </c>
    </row>
    <row r="106" spans="1:107" x14ac:dyDescent="0.35">
      <c r="A106" s="1" t="s">
        <v>649</v>
      </c>
      <c r="B106" s="5" t="s">
        <v>0</v>
      </c>
      <c r="C106" s="3" t="s">
        <v>734</v>
      </c>
      <c r="D106" s="4" t="s">
        <v>735</v>
      </c>
      <c r="E106" s="5">
        <v>3</v>
      </c>
      <c r="F106" s="5">
        <v>56</v>
      </c>
      <c r="G106" s="2">
        <v>0.75850636440035257</v>
      </c>
      <c r="H106" s="2" t="s">
        <v>1276</v>
      </c>
      <c r="I106" s="17" t="s">
        <v>121</v>
      </c>
      <c r="J10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LEE CHEAN CHUNG </v>
      </c>
      <c r="K106" s="8">
        <v>23253</v>
      </c>
      <c r="L106" s="8" t="s">
        <v>77</v>
      </c>
      <c r="M106" s="7" t="s">
        <v>737</v>
      </c>
      <c r="N106" s="8">
        <v>83311</v>
      </c>
      <c r="O106" s="8" t="s">
        <v>23</v>
      </c>
      <c r="P106" s="7" t="s">
        <v>736</v>
      </c>
      <c r="Q106" s="8">
        <v>32736</v>
      </c>
      <c r="R106" s="8" t="s">
        <v>724</v>
      </c>
      <c r="S106" s="7" t="s">
        <v>738</v>
      </c>
      <c r="T106" s="10">
        <v>50575</v>
      </c>
      <c r="U106" s="10">
        <v>0</v>
      </c>
      <c r="V106" s="10">
        <v>1</v>
      </c>
      <c r="W106" s="10">
        <v>0</v>
      </c>
      <c r="X106" s="10">
        <v>28500</v>
      </c>
      <c r="Y106" s="12" t="s">
        <v>26</v>
      </c>
      <c r="Z106" s="12" t="s">
        <v>1277</v>
      </c>
      <c r="AA106" s="13" t="s">
        <v>739</v>
      </c>
      <c r="AB106" s="14">
        <v>57137</v>
      </c>
      <c r="AC106" s="15" t="s">
        <v>623</v>
      </c>
      <c r="AD106" s="16">
        <v>45387</v>
      </c>
      <c r="AE106" s="14">
        <v>21847</v>
      </c>
      <c r="AF106" s="14">
        <v>14448</v>
      </c>
      <c r="AG106" s="14">
        <v>78984</v>
      </c>
      <c r="AH106" s="14" t="s">
        <v>82</v>
      </c>
      <c r="AI106" s="15" t="s">
        <v>29</v>
      </c>
      <c r="AJ106" s="14">
        <v>0</v>
      </c>
      <c r="AK106" s="14">
        <v>1</v>
      </c>
      <c r="AL106" s="14">
        <v>0</v>
      </c>
      <c r="AM106" s="51">
        <v>140920</v>
      </c>
      <c r="AN106" s="51">
        <v>65573</v>
      </c>
      <c r="AO106" s="51">
        <v>45142</v>
      </c>
      <c r="AP106" s="51">
        <v>28147</v>
      </c>
      <c r="AQ106" s="51">
        <v>1241</v>
      </c>
      <c r="AR106" s="51">
        <v>525</v>
      </c>
      <c r="AS106" s="51">
        <v>280</v>
      </c>
      <c r="AT106" s="51">
        <v>12</v>
      </c>
      <c r="AU106" s="51">
        <v>68995</v>
      </c>
      <c r="AV106" s="51">
        <v>71925</v>
      </c>
      <c r="AW106" s="51">
        <v>44089</v>
      </c>
      <c r="AX106" s="51">
        <v>96831</v>
      </c>
      <c r="AY106" s="14">
        <v>22195</v>
      </c>
      <c r="AZ106" s="14">
        <v>195148</v>
      </c>
      <c r="BA106" s="14">
        <v>37</v>
      </c>
      <c r="BB106" s="14">
        <v>4310</v>
      </c>
      <c r="BC106" s="14">
        <v>190801</v>
      </c>
      <c r="BD106" s="14">
        <v>92595</v>
      </c>
      <c r="BE106" s="11">
        <f>Table14[[#This Row],[Melayu_Voters_GE15]]/Table14[[#This Row],[All_Voters_GE15]]</f>
        <v>0.47448603111484616</v>
      </c>
      <c r="BF106" s="14">
        <v>57590</v>
      </c>
      <c r="BG106" s="11">
        <f>Table14[[#This Row],[Chinese_Voters_GE15]]/Table14[[#This Row],[All_Voters_GE15]]</f>
        <v>0.29510935290138768</v>
      </c>
      <c r="BH106" s="14">
        <v>41751</v>
      </c>
      <c r="BI106" s="11">
        <f>Table14[[#This Row],[India_Voters_GE15]]/Table14[[#This Row],[All_Voters_GE15]]</f>
        <v>0.21394531330067437</v>
      </c>
      <c r="BJ106" s="14">
        <v>29</v>
      </c>
      <c r="BK106" s="14">
        <v>1303</v>
      </c>
      <c r="BL106" s="14">
        <v>610</v>
      </c>
      <c r="BM106" s="14">
        <v>1270</v>
      </c>
      <c r="BN106" s="14">
        <f>Table14[[#This Row],[Lain_Voters_GE15]]+Table14[[#This Row],[Swak_Voters_GE15]]+Table14[[#This Row],[Sabah_Voters_GE15]]+Table14[[#This Row],[OA_Voters_GE15]]</f>
        <v>3212</v>
      </c>
      <c r="BO106" s="11">
        <f>Table14[[#This Row],[Base_Stock_GE15]]/Table14[[#This Row],[All_Voters_GE15]]</f>
        <v>0.14604300325906491</v>
      </c>
      <c r="BP106" s="14">
        <v>14903</v>
      </c>
      <c r="BQ106" s="10">
        <v>60724</v>
      </c>
      <c r="BR106" s="44">
        <v>27832</v>
      </c>
      <c r="BS106" s="10">
        <v>9168</v>
      </c>
      <c r="BT106" s="10">
        <v>76695</v>
      </c>
      <c r="BU106" s="10">
        <v>65880</v>
      </c>
      <c r="BV106" s="10">
        <v>43405</v>
      </c>
      <c r="BW106" s="10">
        <f t="shared" si="30"/>
        <v>85863</v>
      </c>
      <c r="BX106" s="10">
        <f t="shared" si="31"/>
        <v>109285</v>
      </c>
      <c r="BY106" s="14">
        <v>200500</v>
      </c>
      <c r="BZ106" s="14">
        <v>0</v>
      </c>
      <c r="CA106" s="14">
        <v>4494</v>
      </c>
      <c r="CB106" s="14">
        <v>196006</v>
      </c>
      <c r="CC106" s="14">
        <v>98567</v>
      </c>
      <c r="CD106" s="14">
        <v>57472</v>
      </c>
      <c r="CE106" s="14">
        <v>40216</v>
      </c>
      <c r="CF106" s="14">
        <v>33</v>
      </c>
      <c r="CG106" s="14">
        <v>1448</v>
      </c>
      <c r="CH106" s="14">
        <v>747</v>
      </c>
      <c r="CI106" s="14">
        <v>2017</v>
      </c>
      <c r="CJ106" s="14">
        <f t="shared" si="32"/>
        <v>4245</v>
      </c>
      <c r="CK106" s="14">
        <v>98714</v>
      </c>
      <c r="CL106" s="14">
        <v>101786</v>
      </c>
      <c r="CM106" s="14">
        <v>83033</v>
      </c>
      <c r="CN106" s="11">
        <f t="shared" si="33"/>
        <v>0.41412967581047383</v>
      </c>
      <c r="CO106" s="14">
        <v>117467</v>
      </c>
      <c r="CP106" s="11">
        <f t="shared" si="34"/>
        <v>0.58587032418952623</v>
      </c>
      <c r="CQ106" s="29">
        <v>10255</v>
      </c>
      <c r="CR106" s="29">
        <v>76580</v>
      </c>
      <c r="CS106" s="29">
        <v>66419</v>
      </c>
      <c r="CT106" s="29">
        <v>45763</v>
      </c>
      <c r="CU106" s="45">
        <v>26509</v>
      </c>
      <c r="CV106" s="45">
        <v>11032</v>
      </c>
      <c r="CW106" s="45">
        <v>11341</v>
      </c>
      <c r="CX106" s="45">
        <v>3020</v>
      </c>
      <c r="CY106" s="45">
        <v>1116</v>
      </c>
      <c r="CZ106" s="45">
        <v>170</v>
      </c>
      <c r="DA106" s="45">
        <v>170</v>
      </c>
      <c r="DB106" s="45">
        <v>158</v>
      </c>
      <c r="DC106" s="45">
        <v>134</v>
      </c>
    </row>
    <row r="107" spans="1:107" x14ac:dyDescent="0.35">
      <c r="A107" s="1" t="s">
        <v>649</v>
      </c>
      <c r="B107" s="5" t="s">
        <v>0</v>
      </c>
      <c r="C107" s="3" t="s">
        <v>740</v>
      </c>
      <c r="D107" s="4" t="s">
        <v>741</v>
      </c>
      <c r="E107" s="5">
        <v>3</v>
      </c>
      <c r="F107" s="5">
        <v>57</v>
      </c>
      <c r="G107" s="2">
        <v>0.73869838521474007</v>
      </c>
      <c r="H107" s="2" t="s">
        <v>1276</v>
      </c>
      <c r="I107" s="17" t="s">
        <v>121</v>
      </c>
      <c r="J10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GOBIND SINGH DEO </v>
      </c>
      <c r="K107" s="8">
        <v>13806</v>
      </c>
      <c r="L107" s="8" t="s">
        <v>77</v>
      </c>
      <c r="M107" s="7" t="s">
        <v>743</v>
      </c>
      <c r="N107" s="8">
        <v>142875</v>
      </c>
      <c r="O107" s="8" t="s">
        <v>102</v>
      </c>
      <c r="P107" s="7" t="s">
        <v>742</v>
      </c>
      <c r="Q107" s="8">
        <v>18256</v>
      </c>
      <c r="R107" s="8" t="s">
        <v>339</v>
      </c>
      <c r="S107" s="7" t="s">
        <v>744</v>
      </c>
      <c r="T107" s="10">
        <v>124619</v>
      </c>
      <c r="U107" s="10">
        <v>0</v>
      </c>
      <c r="V107" s="10">
        <v>1</v>
      </c>
      <c r="W107" s="10">
        <v>0</v>
      </c>
      <c r="X107" s="10">
        <v>5768</v>
      </c>
      <c r="Y107" s="12" t="s">
        <v>319</v>
      </c>
      <c r="Z107" s="12" t="s">
        <v>1277</v>
      </c>
      <c r="AA107" s="13" t="s">
        <v>745</v>
      </c>
      <c r="AB107" s="14">
        <v>106903</v>
      </c>
      <c r="AC107" s="15" t="s">
        <v>746</v>
      </c>
      <c r="AD107" s="16">
        <v>27745</v>
      </c>
      <c r="AE107" s="14">
        <v>14380</v>
      </c>
      <c r="AF107" s="14"/>
      <c r="AG107" s="14">
        <v>121283</v>
      </c>
      <c r="AH107" s="14" t="s">
        <v>82</v>
      </c>
      <c r="AI107" s="15" t="s">
        <v>321</v>
      </c>
      <c r="AJ107" s="14">
        <v>0</v>
      </c>
      <c r="AK107" s="14">
        <v>1</v>
      </c>
      <c r="AL107" s="14">
        <v>0</v>
      </c>
      <c r="AM107" s="51">
        <v>164322</v>
      </c>
      <c r="AN107" s="51">
        <v>32292</v>
      </c>
      <c r="AO107" s="51">
        <v>114077</v>
      </c>
      <c r="AP107" s="51">
        <v>15889</v>
      </c>
      <c r="AQ107" s="51">
        <v>1217</v>
      </c>
      <c r="AR107" s="51">
        <v>348</v>
      </c>
      <c r="AS107" s="51">
        <v>179</v>
      </c>
      <c r="AT107" s="51">
        <v>320</v>
      </c>
      <c r="AU107" s="51">
        <v>78985</v>
      </c>
      <c r="AV107" s="51">
        <v>85337</v>
      </c>
      <c r="AW107" s="51">
        <v>50621</v>
      </c>
      <c r="AX107" s="51">
        <v>113701</v>
      </c>
      <c r="AY107" s="14">
        <v>14998</v>
      </c>
      <c r="AZ107" s="14">
        <v>239103</v>
      </c>
      <c r="BA107" s="14">
        <v>57</v>
      </c>
      <c r="BB107" s="14">
        <v>489</v>
      </c>
      <c r="BC107" s="14">
        <v>238557</v>
      </c>
      <c r="BD107" s="14">
        <v>52485</v>
      </c>
      <c r="BE107" s="11">
        <f>Table14[[#This Row],[Melayu_Voters_GE15]]/Table14[[#This Row],[All_Voters_GE15]]</f>
        <v>0.21950791081667734</v>
      </c>
      <c r="BF107" s="14">
        <v>158000</v>
      </c>
      <c r="BG107" s="11">
        <f>Table14[[#This Row],[Chinese_Voters_GE15]]/Table14[[#This Row],[All_Voters_GE15]]</f>
        <v>0.66080308486300887</v>
      </c>
      <c r="BH107" s="14">
        <v>24646</v>
      </c>
      <c r="BI107" s="11">
        <f>Table14[[#This Row],[India_Voters_GE15]]/Table14[[#This Row],[All_Voters_GE15]]</f>
        <v>0.10307691664261845</v>
      </c>
      <c r="BJ107" s="14">
        <v>604</v>
      </c>
      <c r="BK107" s="14">
        <v>1185</v>
      </c>
      <c r="BL107" s="14">
        <v>583</v>
      </c>
      <c r="BM107" s="14">
        <v>1600</v>
      </c>
      <c r="BN107" s="14">
        <f>Table14[[#This Row],[Lain_Voters_GE15]]+Table14[[#This Row],[Swak_Voters_GE15]]+Table14[[#This Row],[Sabah_Voters_GE15]]+Table14[[#This Row],[OA_Voters_GE15]]</f>
        <v>3972</v>
      </c>
      <c r="BO107" s="11">
        <f>Table14[[#This Row],[Base_Stock_GE15]]/Table14[[#This Row],[All_Voters_GE15]]</f>
        <v>2.4123494895505283E-2</v>
      </c>
      <c r="BP107" s="14">
        <v>3657</v>
      </c>
      <c r="BQ107" s="10">
        <v>79761</v>
      </c>
      <c r="BR107" s="44">
        <v>35713</v>
      </c>
      <c r="BS107" s="10">
        <v>12002</v>
      </c>
      <c r="BT107" s="10">
        <v>91559</v>
      </c>
      <c r="BU107" s="10">
        <v>81723</v>
      </c>
      <c r="BV107" s="10">
        <v>53819</v>
      </c>
      <c r="BW107" s="10">
        <f t="shared" si="30"/>
        <v>103561</v>
      </c>
      <c r="BX107" s="10">
        <f t="shared" si="31"/>
        <v>135542</v>
      </c>
      <c r="BY107" s="14">
        <v>250444</v>
      </c>
      <c r="BZ107" s="14">
        <v>0</v>
      </c>
      <c r="CA107" s="14">
        <v>497</v>
      </c>
      <c r="CB107" s="14">
        <v>249947</v>
      </c>
      <c r="CC107" s="14">
        <v>57256</v>
      </c>
      <c r="CD107" s="14">
        <v>163974</v>
      </c>
      <c r="CE107" s="14">
        <v>24239</v>
      </c>
      <c r="CF107" s="14">
        <v>649</v>
      </c>
      <c r="CG107" s="14">
        <v>1378</v>
      </c>
      <c r="CH107" s="14">
        <v>714</v>
      </c>
      <c r="CI107" s="14">
        <v>2234</v>
      </c>
      <c r="CJ107" s="14">
        <f t="shared" si="32"/>
        <v>4975</v>
      </c>
      <c r="CK107" s="14">
        <v>121458</v>
      </c>
      <c r="CL107" s="14">
        <v>128986</v>
      </c>
      <c r="CM107" s="14">
        <v>100026</v>
      </c>
      <c r="CN107" s="11">
        <f t="shared" si="33"/>
        <v>0.39939467505709858</v>
      </c>
      <c r="CO107" s="14">
        <v>150418</v>
      </c>
      <c r="CP107" s="11">
        <f t="shared" si="34"/>
        <v>0.60060532494290142</v>
      </c>
      <c r="CQ107" s="29">
        <v>13213</v>
      </c>
      <c r="CR107" s="29">
        <v>91543</v>
      </c>
      <c r="CS107" s="29">
        <v>83014</v>
      </c>
      <c r="CT107" s="29">
        <v>59273</v>
      </c>
      <c r="CU107" s="45">
        <v>14084</v>
      </c>
      <c r="CV107" s="45">
        <v>6008</v>
      </c>
      <c r="CW107" s="45">
        <v>5740</v>
      </c>
      <c r="CX107" s="45">
        <v>1735</v>
      </c>
      <c r="CY107" s="45">
        <v>601</v>
      </c>
      <c r="CZ107" s="45">
        <v>92</v>
      </c>
      <c r="DA107" s="45">
        <v>92</v>
      </c>
      <c r="DB107" s="45">
        <v>92</v>
      </c>
      <c r="DC107" s="45">
        <v>81</v>
      </c>
    </row>
    <row r="108" spans="1:107" x14ac:dyDescent="0.35">
      <c r="A108" s="1" t="s">
        <v>649</v>
      </c>
      <c r="B108" s="5" t="s">
        <v>0</v>
      </c>
      <c r="C108" s="3" t="s">
        <v>747</v>
      </c>
      <c r="D108" s="4" t="s">
        <v>748</v>
      </c>
      <c r="E108" s="5">
        <v>2</v>
      </c>
      <c r="F108" s="5">
        <v>28</v>
      </c>
      <c r="G108" s="2">
        <v>0.82766778417357201</v>
      </c>
      <c r="H108" s="2" t="s">
        <v>1276</v>
      </c>
      <c r="I108" s="17" t="s">
        <v>121</v>
      </c>
      <c r="J10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RAMANAN A/L RAMAKRISHNAN </v>
      </c>
      <c r="K108" s="8">
        <v>48250</v>
      </c>
      <c r="L108" s="8" t="s">
        <v>8</v>
      </c>
      <c r="M108" s="7" t="s">
        <v>750</v>
      </c>
      <c r="N108" s="8">
        <v>50943</v>
      </c>
      <c r="O108" s="8" t="s">
        <v>23</v>
      </c>
      <c r="P108" s="7" t="s">
        <v>749</v>
      </c>
      <c r="Q108" s="8">
        <v>29060</v>
      </c>
      <c r="R108" s="8" t="s">
        <v>12</v>
      </c>
      <c r="S108" s="7" t="s">
        <v>751</v>
      </c>
      <c r="T108" s="10">
        <v>2693</v>
      </c>
      <c r="U108" s="10">
        <v>0</v>
      </c>
      <c r="V108" s="10">
        <v>1</v>
      </c>
      <c r="W108" s="10">
        <v>0</v>
      </c>
      <c r="X108" s="10">
        <v>40465</v>
      </c>
      <c r="Y108" s="12" t="s">
        <v>26</v>
      </c>
      <c r="Z108" s="12" t="s">
        <v>1277</v>
      </c>
      <c r="AA108" s="13" t="s">
        <v>752</v>
      </c>
      <c r="AB108" s="14">
        <v>26634</v>
      </c>
      <c r="AC108" s="15" t="s">
        <v>753</v>
      </c>
      <c r="AD108" s="16">
        <v>39864</v>
      </c>
      <c r="AE108" s="14">
        <v>16681</v>
      </c>
      <c r="AF108" s="14">
        <v>16997</v>
      </c>
      <c r="AG108" s="14">
        <v>43631</v>
      </c>
      <c r="AH108" s="14" t="s">
        <v>456</v>
      </c>
      <c r="AI108" s="15" t="s">
        <v>29</v>
      </c>
      <c r="AJ108" s="14">
        <v>0</v>
      </c>
      <c r="AK108" s="14">
        <v>1</v>
      </c>
      <c r="AL108" s="14">
        <v>0</v>
      </c>
      <c r="AM108" s="51">
        <v>90707</v>
      </c>
      <c r="AN108" s="51">
        <v>59222</v>
      </c>
      <c r="AO108" s="51">
        <v>19631</v>
      </c>
      <c r="AP108" s="51">
        <v>9793</v>
      </c>
      <c r="AQ108" s="51">
        <v>1146</v>
      </c>
      <c r="AR108" s="51">
        <v>487</v>
      </c>
      <c r="AS108" s="51">
        <v>392</v>
      </c>
      <c r="AT108" s="51">
        <v>36</v>
      </c>
      <c r="AU108" s="51">
        <v>45318</v>
      </c>
      <c r="AV108" s="51">
        <v>45389</v>
      </c>
      <c r="AW108" s="51">
        <v>39256</v>
      </c>
      <c r="AX108" s="51">
        <v>51451</v>
      </c>
      <c r="AY108" s="14">
        <v>28181.666666666668</v>
      </c>
      <c r="AZ108" s="14">
        <v>158090</v>
      </c>
      <c r="BA108" s="14">
        <v>43</v>
      </c>
      <c r="BB108" s="14">
        <v>2388</v>
      </c>
      <c r="BC108" s="14">
        <v>155659</v>
      </c>
      <c r="BD108" s="14">
        <v>105013</v>
      </c>
      <c r="BE108" s="11">
        <f>Table14[[#This Row],[Melayu_Voters_GE15]]/Table14[[#This Row],[All_Voters_GE15]]</f>
        <v>0.66426086406477325</v>
      </c>
      <c r="BF108" s="14">
        <v>32571</v>
      </c>
      <c r="BG108" s="11">
        <f>Table14[[#This Row],[Chinese_Voters_GE15]]/Table14[[#This Row],[All_Voters_GE15]]</f>
        <v>0.20602821177810107</v>
      </c>
      <c r="BH108" s="14">
        <v>16606</v>
      </c>
      <c r="BI108" s="11">
        <f>Table14[[#This Row],[India_Voters_GE15]]/Table14[[#This Row],[All_Voters_GE15]]</f>
        <v>0.10504143209564172</v>
      </c>
      <c r="BJ108" s="14">
        <v>102</v>
      </c>
      <c r="BK108" s="14">
        <v>1249</v>
      </c>
      <c r="BL108" s="14">
        <v>673</v>
      </c>
      <c r="BM108" s="14">
        <v>1876</v>
      </c>
      <c r="BN108" s="14">
        <f>Table14[[#This Row],[Lain_Voters_GE15]]+Table14[[#This Row],[Swak_Voters_GE15]]+Table14[[#This Row],[Sabah_Voters_GE15]]+Table14[[#This Row],[OA_Voters_GE15]]</f>
        <v>3900</v>
      </c>
      <c r="BO108" s="11">
        <f>Table14[[#This Row],[Base_Stock_GE15]]/Table14[[#This Row],[All_Voters_GE15]]</f>
        <v>0.25596179391485863</v>
      </c>
      <c r="BP108" s="14">
        <v>32535</v>
      </c>
      <c r="BQ108" s="10">
        <v>66300</v>
      </c>
      <c r="BR108" s="44">
        <v>39253</v>
      </c>
      <c r="BS108" s="10">
        <v>13830</v>
      </c>
      <c r="BT108" s="10">
        <v>79694</v>
      </c>
      <c r="BU108" s="10">
        <v>47868</v>
      </c>
      <c r="BV108" s="10">
        <v>16698</v>
      </c>
      <c r="BW108" s="10">
        <f t="shared" si="30"/>
        <v>93524</v>
      </c>
      <c r="BX108" s="10">
        <f t="shared" si="31"/>
        <v>64566</v>
      </c>
      <c r="BY108" s="14">
        <v>177788</v>
      </c>
      <c r="BZ108" s="14">
        <v>0</v>
      </c>
      <c r="CA108" s="14">
        <v>2533</v>
      </c>
      <c r="CB108" s="14">
        <v>175255</v>
      </c>
      <c r="CC108" s="14">
        <v>120262</v>
      </c>
      <c r="CD108" s="14">
        <v>36079</v>
      </c>
      <c r="CE108" s="14">
        <v>16693</v>
      </c>
      <c r="CF108" s="14">
        <v>130</v>
      </c>
      <c r="CG108" s="14">
        <v>1487</v>
      </c>
      <c r="CH108" s="14">
        <v>846</v>
      </c>
      <c r="CI108" s="14">
        <v>2291</v>
      </c>
      <c r="CJ108" s="14">
        <f t="shared" si="32"/>
        <v>4754</v>
      </c>
      <c r="CK108" s="14">
        <v>88708</v>
      </c>
      <c r="CL108" s="14">
        <v>89080</v>
      </c>
      <c r="CM108" s="14">
        <v>100064</v>
      </c>
      <c r="CN108" s="11">
        <f t="shared" si="33"/>
        <v>0.56282763741084885</v>
      </c>
      <c r="CO108" s="14">
        <v>77724</v>
      </c>
      <c r="CP108" s="11">
        <f t="shared" si="34"/>
        <v>0.4371723625891511</v>
      </c>
      <c r="CQ108" s="29">
        <v>15786</v>
      </c>
      <c r="CR108" s="29">
        <v>85074</v>
      </c>
      <c r="CS108" s="29">
        <v>51239</v>
      </c>
      <c r="CT108" s="29">
        <v>19849</v>
      </c>
      <c r="CU108" s="45">
        <v>15455</v>
      </c>
      <c r="CV108" s="45">
        <v>5287</v>
      </c>
      <c r="CW108" s="45">
        <v>6132</v>
      </c>
      <c r="CX108" s="45">
        <v>2965</v>
      </c>
      <c r="CY108" s="45">
        <v>1071</v>
      </c>
      <c r="CZ108" s="45">
        <v>115</v>
      </c>
      <c r="DA108" s="45">
        <v>115</v>
      </c>
      <c r="DB108" s="45">
        <v>115</v>
      </c>
      <c r="DC108" s="45">
        <v>106</v>
      </c>
    </row>
    <row r="109" spans="1:107" x14ac:dyDescent="0.35">
      <c r="A109" s="1" t="s">
        <v>649</v>
      </c>
      <c r="B109" s="5" t="s">
        <v>0</v>
      </c>
      <c r="C109" s="3" t="s">
        <v>754</v>
      </c>
      <c r="D109" s="4" t="s">
        <v>755</v>
      </c>
      <c r="E109" s="5">
        <v>2</v>
      </c>
      <c r="F109" s="5">
        <v>40</v>
      </c>
      <c r="G109" s="2">
        <v>0.82707066319142775</v>
      </c>
      <c r="H109" s="2" t="s">
        <v>1276</v>
      </c>
      <c r="I109" s="17" t="s">
        <v>121</v>
      </c>
      <c r="J10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AZLI YUSOF </v>
      </c>
      <c r="K109" s="8">
        <v>28266</v>
      </c>
      <c r="L109" s="8" t="s">
        <v>8</v>
      </c>
      <c r="M109" s="7" t="s">
        <v>757</v>
      </c>
      <c r="N109" s="8">
        <v>61409</v>
      </c>
      <c r="O109" s="8" t="s">
        <v>214</v>
      </c>
      <c r="P109" s="7" t="s">
        <v>756</v>
      </c>
      <c r="Q109" s="8">
        <v>43314</v>
      </c>
      <c r="R109" s="8" t="s">
        <v>25</v>
      </c>
      <c r="S109" s="7" t="s">
        <v>758</v>
      </c>
      <c r="T109" s="10">
        <v>18095</v>
      </c>
      <c r="U109" s="10">
        <v>0</v>
      </c>
      <c r="V109" s="10">
        <v>1</v>
      </c>
      <c r="W109" s="10">
        <v>0</v>
      </c>
      <c r="X109" s="10">
        <v>32299</v>
      </c>
      <c r="Y109" s="12" t="s">
        <v>72</v>
      </c>
      <c r="Z109" s="12" t="s">
        <v>1277</v>
      </c>
      <c r="AA109" s="13" t="s">
        <v>759</v>
      </c>
      <c r="AB109" s="14">
        <v>33849</v>
      </c>
      <c r="AC109" s="15" t="s">
        <v>305</v>
      </c>
      <c r="AD109" s="16">
        <v>48349</v>
      </c>
      <c r="AE109" s="14">
        <v>22100</v>
      </c>
      <c r="AF109" s="14">
        <v>15194</v>
      </c>
      <c r="AG109" s="14">
        <v>55949</v>
      </c>
      <c r="AH109" s="14" t="s">
        <v>17</v>
      </c>
      <c r="AI109" s="15" t="s">
        <v>10</v>
      </c>
      <c r="AJ109" s="14">
        <v>0</v>
      </c>
      <c r="AK109" s="14">
        <v>1</v>
      </c>
      <c r="AL109" s="14">
        <v>0</v>
      </c>
      <c r="AM109" s="51">
        <v>107316</v>
      </c>
      <c r="AN109" s="51">
        <v>80650</v>
      </c>
      <c r="AO109" s="51">
        <v>11619</v>
      </c>
      <c r="AP109" s="51">
        <v>13842</v>
      </c>
      <c r="AQ109" s="51">
        <v>437</v>
      </c>
      <c r="AR109" s="51">
        <v>479</v>
      </c>
      <c r="AS109" s="51">
        <v>216</v>
      </c>
      <c r="AT109" s="51">
        <v>73</v>
      </c>
      <c r="AU109" s="51">
        <v>53290</v>
      </c>
      <c r="AV109" s="51">
        <v>54026</v>
      </c>
      <c r="AW109" s="51">
        <v>44861</v>
      </c>
      <c r="AX109" s="51">
        <v>62455</v>
      </c>
      <c r="AY109" s="14">
        <v>28070.666666666668</v>
      </c>
      <c r="AZ109" s="14">
        <v>165744</v>
      </c>
      <c r="BA109" s="14">
        <v>62</v>
      </c>
      <c r="BB109" s="14">
        <v>1758</v>
      </c>
      <c r="BC109" s="14">
        <v>163924</v>
      </c>
      <c r="BD109" s="14">
        <v>122741</v>
      </c>
      <c r="BE109" s="11">
        <f>Table14[[#This Row],[Melayu_Voters_GE15]]/Table14[[#This Row],[All_Voters_GE15]]</f>
        <v>0.74054566077806738</v>
      </c>
      <c r="BF109" s="14">
        <v>21119</v>
      </c>
      <c r="BG109" s="11">
        <f>Table14[[#This Row],[Chinese_Voters_GE15]]/Table14[[#This Row],[All_Voters_GE15]]</f>
        <v>0.12741939376387681</v>
      </c>
      <c r="BH109" s="14">
        <v>19867</v>
      </c>
      <c r="BI109" s="11">
        <f>Table14[[#This Row],[India_Voters_GE15]]/Table14[[#This Row],[All_Voters_GE15]]</f>
        <v>0.11986557582778261</v>
      </c>
      <c r="BJ109" s="14">
        <v>156</v>
      </c>
      <c r="BK109" s="14">
        <v>910</v>
      </c>
      <c r="BL109" s="14">
        <v>458</v>
      </c>
      <c r="BM109" s="14">
        <v>493</v>
      </c>
      <c r="BN109" s="14">
        <f>Table14[[#This Row],[Lain_Voters_GE15]]+Table14[[#This Row],[Swak_Voters_GE15]]+Table14[[#This Row],[Sabah_Voters_GE15]]+Table14[[#This Row],[OA_Voters_GE15]]</f>
        <v>2017</v>
      </c>
      <c r="BO109" s="11">
        <f>Table14[[#This Row],[Base_Stock_GE15]]/Table14[[#This Row],[All_Voters_GE15]]</f>
        <v>0.19487281590887151</v>
      </c>
      <c r="BP109" s="14">
        <v>25676</v>
      </c>
      <c r="BQ109" s="10">
        <v>59293</v>
      </c>
      <c r="BR109" s="44">
        <v>34863</v>
      </c>
      <c r="BS109" s="10">
        <v>12236</v>
      </c>
      <c r="BT109" s="10">
        <v>79270</v>
      </c>
      <c r="BU109" s="10">
        <v>50938</v>
      </c>
      <c r="BV109" s="10">
        <v>23300</v>
      </c>
      <c r="BW109" s="10">
        <f t="shared" si="30"/>
        <v>91506</v>
      </c>
      <c r="BX109" s="10">
        <f t="shared" si="31"/>
        <v>74238</v>
      </c>
      <c r="BY109" s="14">
        <v>183410</v>
      </c>
      <c r="BZ109" s="14">
        <v>0</v>
      </c>
      <c r="CA109" s="14">
        <v>2219</v>
      </c>
      <c r="CB109" s="14">
        <v>181191</v>
      </c>
      <c r="CC109" s="14">
        <v>136770</v>
      </c>
      <c r="CD109" s="14">
        <v>24273</v>
      </c>
      <c r="CE109" s="14">
        <v>19692</v>
      </c>
      <c r="CF109" s="14">
        <v>170</v>
      </c>
      <c r="CG109" s="14">
        <v>1088</v>
      </c>
      <c r="CH109" s="14">
        <v>628</v>
      </c>
      <c r="CI109" s="14">
        <v>789</v>
      </c>
      <c r="CJ109" s="14">
        <f t="shared" si="32"/>
        <v>2675</v>
      </c>
      <c r="CK109" s="14">
        <v>91350</v>
      </c>
      <c r="CL109" s="14">
        <v>92060</v>
      </c>
      <c r="CM109" s="14">
        <v>94939</v>
      </c>
      <c r="CN109" s="11">
        <f t="shared" si="33"/>
        <v>0.51763262635625107</v>
      </c>
      <c r="CO109" s="14">
        <v>88471</v>
      </c>
      <c r="CP109" s="11">
        <f t="shared" si="34"/>
        <v>0.48236737364374899</v>
      </c>
      <c r="CQ109" s="29">
        <v>14150</v>
      </c>
      <c r="CR109" s="29">
        <v>82957</v>
      </c>
      <c r="CS109" s="29">
        <v>54942</v>
      </c>
      <c r="CT109" s="29">
        <v>26410</v>
      </c>
      <c r="CU109" s="45">
        <v>21064</v>
      </c>
      <c r="CV109" s="45">
        <v>8647</v>
      </c>
      <c r="CW109" s="45">
        <v>8906</v>
      </c>
      <c r="CX109" s="45">
        <v>2660</v>
      </c>
      <c r="CY109" s="45">
        <v>851</v>
      </c>
      <c r="CZ109" s="45">
        <v>91</v>
      </c>
      <c r="DA109" s="45">
        <v>91</v>
      </c>
      <c r="DB109" s="45">
        <v>91</v>
      </c>
      <c r="DC109" s="45">
        <v>88</v>
      </c>
    </row>
    <row r="110" spans="1:107" x14ac:dyDescent="0.35">
      <c r="A110" s="1" t="s">
        <v>649</v>
      </c>
      <c r="B110" s="5" t="s">
        <v>0</v>
      </c>
      <c r="C110" s="3" t="s">
        <v>760</v>
      </c>
      <c r="D110" s="4" t="s">
        <v>761</v>
      </c>
      <c r="E110" s="5">
        <v>3</v>
      </c>
      <c r="F110" s="5">
        <v>44</v>
      </c>
      <c r="G110" s="2">
        <v>0.84332704930585256</v>
      </c>
      <c r="H110" s="2" t="s">
        <v>1276</v>
      </c>
      <c r="I110" s="9" t="s">
        <v>13</v>
      </c>
      <c r="J11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DR HALIMAH BINTI ALI </v>
      </c>
      <c r="K110" s="8">
        <v>35079</v>
      </c>
      <c r="L110" s="8" t="s">
        <v>8</v>
      </c>
      <c r="M110" s="7" t="s">
        <v>763</v>
      </c>
      <c r="N110" s="8">
        <v>53969</v>
      </c>
      <c r="O110" s="8" t="s">
        <v>23</v>
      </c>
      <c r="P110" s="7" t="s">
        <v>764</v>
      </c>
      <c r="Q110" s="8">
        <v>65751</v>
      </c>
      <c r="R110" s="8" t="s">
        <v>12</v>
      </c>
      <c r="S110" s="7" t="s">
        <v>762</v>
      </c>
      <c r="T110" s="10">
        <v>11782</v>
      </c>
      <c r="U110" s="10">
        <v>0</v>
      </c>
      <c r="V110" s="10">
        <v>0</v>
      </c>
      <c r="W110" s="10">
        <v>1</v>
      </c>
      <c r="X110" s="10">
        <v>63036</v>
      </c>
      <c r="Y110" s="12" t="s">
        <v>26</v>
      </c>
      <c r="Z110" s="12" t="s">
        <v>1277</v>
      </c>
      <c r="AA110" s="13" t="s">
        <v>765</v>
      </c>
      <c r="AB110" s="14">
        <v>16306</v>
      </c>
      <c r="AC110" s="15" t="s">
        <v>284</v>
      </c>
      <c r="AD110" s="16">
        <v>57166</v>
      </c>
      <c r="AE110" s="14">
        <v>26412</v>
      </c>
      <c r="AF110" s="14">
        <v>31425</v>
      </c>
      <c r="AG110" s="14">
        <v>47731</v>
      </c>
      <c r="AH110" s="14" t="s">
        <v>456</v>
      </c>
      <c r="AI110" s="15" t="s">
        <v>29</v>
      </c>
      <c r="AJ110" s="14">
        <v>0</v>
      </c>
      <c r="AK110" s="14">
        <v>1</v>
      </c>
      <c r="AL110" s="14">
        <v>0</v>
      </c>
      <c r="AM110" s="51">
        <v>124983</v>
      </c>
      <c r="AN110" s="51">
        <v>88305</v>
      </c>
      <c r="AO110" s="51">
        <v>18478</v>
      </c>
      <c r="AP110" s="51">
        <v>17002</v>
      </c>
      <c r="AQ110" s="51">
        <v>654</v>
      </c>
      <c r="AR110" s="51">
        <v>414</v>
      </c>
      <c r="AS110" s="51">
        <v>99</v>
      </c>
      <c r="AT110" s="51">
        <v>31</v>
      </c>
      <c r="AU110" s="51">
        <v>62073</v>
      </c>
      <c r="AV110" s="51">
        <v>62910</v>
      </c>
      <c r="AW110" s="51">
        <v>54685</v>
      </c>
      <c r="AX110" s="51">
        <v>70298</v>
      </c>
      <c r="AY110" s="14">
        <v>36123.333333333336</v>
      </c>
      <c r="AZ110" s="14">
        <v>189369</v>
      </c>
      <c r="BA110" s="14">
        <v>14</v>
      </c>
      <c r="BB110" s="14">
        <v>491</v>
      </c>
      <c r="BC110" s="14">
        <v>188864</v>
      </c>
      <c r="BD110" s="14">
        <v>131898</v>
      </c>
      <c r="BE110" s="11">
        <f>Table14[[#This Row],[Melayu_Voters_GE15]]/Table14[[#This Row],[All_Voters_GE15]]</f>
        <v>0.69651315685249438</v>
      </c>
      <c r="BF110" s="14">
        <v>28709</v>
      </c>
      <c r="BG110" s="11">
        <f>Table14[[#This Row],[Chinese_Voters_GE15]]/Table14[[#This Row],[All_Voters_GE15]]</f>
        <v>0.15160348314666075</v>
      </c>
      <c r="BH110" s="14">
        <v>26896</v>
      </c>
      <c r="BI110" s="11">
        <f>Table14[[#This Row],[India_Voters_GE15]]/Table14[[#This Row],[All_Voters_GE15]]</f>
        <v>0.14202958245541772</v>
      </c>
      <c r="BJ110" s="14">
        <v>110</v>
      </c>
      <c r="BK110" s="14">
        <v>968</v>
      </c>
      <c r="BL110" s="14">
        <v>275</v>
      </c>
      <c r="BM110" s="14">
        <v>513</v>
      </c>
      <c r="BN110" s="14">
        <f>Table14[[#This Row],[Lain_Voters_GE15]]+Table14[[#This Row],[Swak_Voters_GE15]]+Table14[[#This Row],[Sabah_Voters_GE15]]+Table14[[#This Row],[OA_Voters_GE15]]</f>
        <v>1866</v>
      </c>
      <c r="BO110" s="11">
        <f>Table14[[#This Row],[Base_Stock_GE15]]/Table14[[#This Row],[All_Voters_GE15]]</f>
        <v>0.33287391283684237</v>
      </c>
      <c r="BP110" s="14">
        <v>50519</v>
      </c>
      <c r="BQ110" s="10">
        <v>67159</v>
      </c>
      <c r="BR110" s="44">
        <v>42077</v>
      </c>
      <c r="BS110" s="10">
        <v>14317</v>
      </c>
      <c r="BT110" s="10">
        <v>93660</v>
      </c>
      <c r="BU110" s="10">
        <v>58381</v>
      </c>
      <c r="BV110" s="10">
        <v>23011</v>
      </c>
      <c r="BW110" s="10">
        <f t="shared" si="30"/>
        <v>107977</v>
      </c>
      <c r="BX110" s="10">
        <f t="shared" si="31"/>
        <v>81392</v>
      </c>
      <c r="BY110" s="14">
        <v>204056</v>
      </c>
      <c r="BZ110" s="14">
        <v>0</v>
      </c>
      <c r="CA110" s="14">
        <v>851</v>
      </c>
      <c r="CB110" s="14">
        <v>203205</v>
      </c>
      <c r="CC110" s="14">
        <v>144771</v>
      </c>
      <c r="CD110" s="14">
        <v>29539</v>
      </c>
      <c r="CE110" s="14">
        <v>27506</v>
      </c>
      <c r="CF110" s="14">
        <v>120</v>
      </c>
      <c r="CG110" s="14">
        <v>1144</v>
      </c>
      <c r="CH110" s="14">
        <v>385</v>
      </c>
      <c r="CI110" s="14">
        <v>591</v>
      </c>
      <c r="CJ110" s="14">
        <f t="shared" si="32"/>
        <v>2240</v>
      </c>
      <c r="CK110" s="14">
        <v>101322</v>
      </c>
      <c r="CL110" s="14">
        <v>102734</v>
      </c>
      <c r="CM110" s="14">
        <v>110681</v>
      </c>
      <c r="CN110" s="11">
        <f t="shared" si="33"/>
        <v>0.5424050260712745</v>
      </c>
      <c r="CO110" s="14">
        <v>93375</v>
      </c>
      <c r="CP110" s="11">
        <f t="shared" si="34"/>
        <v>0.45759497392872545</v>
      </c>
      <c r="CQ110" s="29">
        <v>15756</v>
      </c>
      <c r="CR110" s="29">
        <v>97335</v>
      </c>
      <c r="CS110" s="29">
        <v>60791</v>
      </c>
      <c r="CT110" s="29">
        <v>25518</v>
      </c>
      <c r="CU110" s="45">
        <v>18986</v>
      </c>
      <c r="CV110" s="45">
        <v>7147</v>
      </c>
      <c r="CW110" s="45">
        <v>8200</v>
      </c>
      <c r="CX110" s="45">
        <v>2380</v>
      </c>
      <c r="CY110" s="45">
        <v>1259</v>
      </c>
      <c r="CZ110" s="45">
        <v>129</v>
      </c>
      <c r="DA110" s="45">
        <v>127</v>
      </c>
      <c r="DB110" s="45">
        <v>123</v>
      </c>
      <c r="DC110" s="45">
        <v>103</v>
      </c>
    </row>
    <row r="111" spans="1:107" x14ac:dyDescent="0.35">
      <c r="A111" s="1" t="s">
        <v>649</v>
      </c>
      <c r="B111" s="5" t="s">
        <v>0</v>
      </c>
      <c r="C111" s="3" t="s">
        <v>766</v>
      </c>
      <c r="D111" s="4" t="s">
        <v>767</v>
      </c>
      <c r="E111" s="5">
        <v>3</v>
      </c>
      <c r="F111" s="5">
        <v>56</v>
      </c>
      <c r="G111" s="2">
        <v>0.79245427522461498</v>
      </c>
      <c r="H111" s="2" t="s">
        <v>1276</v>
      </c>
      <c r="I111" s="17" t="s">
        <v>121</v>
      </c>
      <c r="J11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GANABATIRAU A/L VERAMAN </v>
      </c>
      <c r="K111" s="8">
        <v>19762</v>
      </c>
      <c r="L111" s="8" t="s">
        <v>77</v>
      </c>
      <c r="M111" s="7" t="s">
        <v>769</v>
      </c>
      <c r="N111" s="8">
        <v>115539</v>
      </c>
      <c r="O111" s="8" t="s">
        <v>102</v>
      </c>
      <c r="P111" s="7" t="s">
        <v>768</v>
      </c>
      <c r="Q111" s="8">
        <v>23738</v>
      </c>
      <c r="R111" s="8" t="s">
        <v>770</v>
      </c>
      <c r="S111" s="7" t="s">
        <v>771</v>
      </c>
      <c r="T111" s="10">
        <v>91801</v>
      </c>
      <c r="U111" s="10">
        <v>0</v>
      </c>
      <c r="V111" s="10">
        <v>1</v>
      </c>
      <c r="W111" s="10">
        <v>0</v>
      </c>
      <c r="X111" s="10">
        <v>17452</v>
      </c>
      <c r="Y111" s="12" t="s">
        <v>319</v>
      </c>
      <c r="Z111" s="12" t="s">
        <v>1277</v>
      </c>
      <c r="AA111" s="13" t="s">
        <v>772</v>
      </c>
      <c r="AB111" s="14">
        <v>78773</v>
      </c>
      <c r="AC111" s="15" t="s">
        <v>349</v>
      </c>
      <c r="AD111" s="16">
        <v>33051</v>
      </c>
      <c r="AE111" s="14">
        <v>19506</v>
      </c>
      <c r="AF111" s="14">
        <v>9169</v>
      </c>
      <c r="AG111" s="14">
        <v>98279</v>
      </c>
      <c r="AH111" s="14" t="s">
        <v>82</v>
      </c>
      <c r="AI111" s="15" t="s">
        <v>321</v>
      </c>
      <c r="AJ111" s="14">
        <v>0</v>
      </c>
      <c r="AK111" s="14">
        <v>1</v>
      </c>
      <c r="AL111" s="14">
        <v>0</v>
      </c>
      <c r="AM111" s="51">
        <v>149348</v>
      </c>
      <c r="AN111" s="51">
        <v>38827</v>
      </c>
      <c r="AO111" s="51">
        <v>82527</v>
      </c>
      <c r="AP111" s="51">
        <v>25802</v>
      </c>
      <c r="AQ111" s="51">
        <v>709</v>
      </c>
      <c r="AR111" s="51">
        <v>1237</v>
      </c>
      <c r="AS111" s="51">
        <v>171</v>
      </c>
      <c r="AT111" s="51">
        <v>75</v>
      </c>
      <c r="AU111" s="51">
        <v>73679</v>
      </c>
      <c r="AV111" s="51">
        <v>75669</v>
      </c>
      <c r="AW111" s="51">
        <v>48260</v>
      </c>
      <c r="AX111" s="51">
        <v>101088</v>
      </c>
      <c r="AY111" s="14">
        <v>22943</v>
      </c>
      <c r="AZ111" s="14">
        <v>208913</v>
      </c>
      <c r="BA111" s="14">
        <v>35</v>
      </c>
      <c r="BB111" s="14">
        <v>1266</v>
      </c>
      <c r="BC111" s="14">
        <v>207612</v>
      </c>
      <c r="BD111" s="14">
        <v>57625</v>
      </c>
      <c r="BE111" s="11">
        <f>Table14[[#This Row],[Melayu_Voters_GE15]]/Table14[[#This Row],[All_Voters_GE15]]</f>
        <v>0.27583252358637328</v>
      </c>
      <c r="BF111" s="14">
        <v>109974</v>
      </c>
      <c r="BG111" s="11">
        <f>Table14[[#This Row],[Chinese_Voters_GE15]]/Table14[[#This Row],[All_Voters_GE15]]</f>
        <v>0.52641051538200112</v>
      </c>
      <c r="BH111" s="14">
        <v>38570</v>
      </c>
      <c r="BI111" s="11">
        <f>Table14[[#This Row],[India_Voters_GE15]]/Table14[[#This Row],[All_Voters_GE15]]</f>
        <v>0.18462230689330009</v>
      </c>
      <c r="BJ111" s="14">
        <v>201</v>
      </c>
      <c r="BK111" s="14">
        <v>1486</v>
      </c>
      <c r="BL111" s="14">
        <v>410</v>
      </c>
      <c r="BM111" s="14">
        <v>647</v>
      </c>
      <c r="BN111" s="14">
        <f>Table14[[#This Row],[Lain_Voters_GE15]]+Table14[[#This Row],[Swak_Voters_GE15]]+Table14[[#This Row],[Sabah_Voters_GE15]]+Table14[[#This Row],[OA_Voters_GE15]]</f>
        <v>2744</v>
      </c>
      <c r="BO111" s="11">
        <f>Table14[[#This Row],[Base_Stock_GE15]]/Table14[[#This Row],[All_Voters_GE15]]</f>
        <v>8.3537166188796294E-2</v>
      </c>
      <c r="BP111" s="14">
        <v>12529</v>
      </c>
      <c r="BQ111" s="10">
        <v>65968</v>
      </c>
      <c r="BR111" s="44">
        <v>32071</v>
      </c>
      <c r="BS111" s="10">
        <v>10583</v>
      </c>
      <c r="BT111" s="10">
        <v>82695</v>
      </c>
      <c r="BU111" s="10">
        <v>71495</v>
      </c>
      <c r="BV111" s="10">
        <v>44140</v>
      </c>
      <c r="BW111" s="10">
        <f t="shared" si="30"/>
        <v>93278</v>
      </c>
      <c r="BX111" s="10">
        <f t="shared" si="31"/>
        <v>115635</v>
      </c>
      <c r="BY111" s="14">
        <v>216297</v>
      </c>
      <c r="BZ111" s="14">
        <v>0</v>
      </c>
      <c r="CA111" s="14">
        <v>1124</v>
      </c>
      <c r="CB111" s="14">
        <v>215173</v>
      </c>
      <c r="CC111" s="14">
        <v>62936</v>
      </c>
      <c r="CD111" s="14">
        <v>111284</v>
      </c>
      <c r="CE111" s="14">
        <v>38620</v>
      </c>
      <c r="CF111" s="14">
        <v>238</v>
      </c>
      <c r="CG111" s="14">
        <v>1773</v>
      </c>
      <c r="CH111" s="14">
        <v>509</v>
      </c>
      <c r="CI111" s="14">
        <v>937</v>
      </c>
      <c r="CJ111" s="14">
        <f t="shared" si="32"/>
        <v>3457</v>
      </c>
      <c r="CK111" s="14">
        <v>107398</v>
      </c>
      <c r="CL111" s="14">
        <v>108899</v>
      </c>
      <c r="CM111" s="14">
        <v>90250</v>
      </c>
      <c r="CN111" s="11">
        <f t="shared" si="33"/>
        <v>0.41725035483617434</v>
      </c>
      <c r="CO111" s="14">
        <v>126047</v>
      </c>
      <c r="CP111" s="11">
        <f t="shared" si="34"/>
        <v>0.58274964516382566</v>
      </c>
      <c r="CQ111" s="29">
        <v>11703</v>
      </c>
      <c r="CR111" s="29">
        <v>82534</v>
      </c>
      <c r="CS111" s="29">
        <v>72339</v>
      </c>
      <c r="CT111" s="29">
        <v>47149</v>
      </c>
      <c r="CU111" s="45">
        <v>22146</v>
      </c>
      <c r="CV111" s="45">
        <v>9999</v>
      </c>
      <c r="CW111" s="45">
        <v>9661</v>
      </c>
      <c r="CX111" s="45">
        <v>1857</v>
      </c>
      <c r="CY111" s="45">
        <v>629</v>
      </c>
      <c r="CZ111" s="45">
        <v>111</v>
      </c>
      <c r="DA111" s="45">
        <v>111</v>
      </c>
      <c r="DB111" s="45">
        <v>102</v>
      </c>
      <c r="DC111" s="45">
        <v>78</v>
      </c>
    </row>
    <row r="112" spans="1:107" x14ac:dyDescent="0.35">
      <c r="A112" s="1" t="s">
        <v>649</v>
      </c>
      <c r="B112" s="5" t="s">
        <v>0</v>
      </c>
      <c r="C112" s="3" t="s">
        <v>773</v>
      </c>
      <c r="D112" s="4" t="s">
        <v>774</v>
      </c>
      <c r="E112" s="5">
        <v>3</v>
      </c>
      <c r="F112" s="5">
        <v>46</v>
      </c>
      <c r="G112" s="2">
        <v>0.81678871489751215</v>
      </c>
      <c r="H112" s="2" t="s">
        <v>1276</v>
      </c>
      <c r="I112" s="17" t="s">
        <v>121</v>
      </c>
      <c r="J11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MOHAMAD SABU </v>
      </c>
      <c r="K112" s="8">
        <v>22225</v>
      </c>
      <c r="L112" s="8" t="s">
        <v>137</v>
      </c>
      <c r="M112" s="7" t="s">
        <v>776</v>
      </c>
      <c r="N112" s="8">
        <v>123306</v>
      </c>
      <c r="O112" s="8" t="s">
        <v>214</v>
      </c>
      <c r="P112" s="7" t="s">
        <v>775</v>
      </c>
      <c r="Q112" s="8">
        <v>49308</v>
      </c>
      <c r="R112" s="8" t="s">
        <v>12</v>
      </c>
      <c r="S112" s="7" t="s">
        <v>777</v>
      </c>
      <c r="T112" s="10">
        <v>73998</v>
      </c>
      <c r="U112" s="10">
        <v>0</v>
      </c>
      <c r="V112" s="10">
        <v>1</v>
      </c>
      <c r="W112" s="10">
        <v>0</v>
      </c>
      <c r="X112" s="10">
        <v>41049</v>
      </c>
      <c r="Y112" s="12" t="s">
        <v>72</v>
      </c>
      <c r="Z112" s="12" t="s">
        <v>1277</v>
      </c>
      <c r="AA112" s="13" t="s">
        <v>778</v>
      </c>
      <c r="AB112" s="14">
        <v>71142</v>
      </c>
      <c r="AC112" s="15" t="s">
        <v>779</v>
      </c>
      <c r="AD112" s="16">
        <v>49411</v>
      </c>
      <c r="AE112" s="14">
        <v>17874</v>
      </c>
      <c r="AF112" s="14">
        <v>19555</v>
      </c>
      <c r="AG112" s="14">
        <v>90697</v>
      </c>
      <c r="AH112" s="14" t="s">
        <v>456</v>
      </c>
      <c r="AI112" s="15" t="s">
        <v>10</v>
      </c>
      <c r="AJ112" s="14">
        <v>0</v>
      </c>
      <c r="AK112" s="14">
        <v>1</v>
      </c>
      <c r="AL112" s="14">
        <v>0</v>
      </c>
      <c r="AM112" s="51">
        <v>149021</v>
      </c>
      <c r="AN112" s="51">
        <v>63767</v>
      </c>
      <c r="AO112" s="51">
        <v>41214</v>
      </c>
      <c r="AP112" s="51">
        <v>41439</v>
      </c>
      <c r="AQ112" s="51">
        <v>933</v>
      </c>
      <c r="AR112" s="51">
        <v>1468</v>
      </c>
      <c r="AS112" s="51">
        <v>189</v>
      </c>
      <c r="AT112" s="51">
        <v>11</v>
      </c>
      <c r="AU112" s="51">
        <v>72948</v>
      </c>
      <c r="AV112" s="51">
        <v>76073</v>
      </c>
      <c r="AW112" s="51">
        <v>66393</v>
      </c>
      <c r="AX112" s="51">
        <v>82628</v>
      </c>
      <c r="AY112" s="14">
        <v>21821.333333333332</v>
      </c>
      <c r="AZ112" s="14">
        <v>244712</v>
      </c>
      <c r="BA112" s="14">
        <v>52</v>
      </c>
      <c r="BB112" s="14">
        <v>37</v>
      </c>
      <c r="BC112" s="14">
        <v>244623</v>
      </c>
      <c r="BD112" s="14">
        <v>99763</v>
      </c>
      <c r="BE112" s="11">
        <f>Table14[[#This Row],[Melayu_Voters_GE15]]/Table14[[#This Row],[All_Voters_GE15]]</f>
        <v>0.40767514465984506</v>
      </c>
      <c r="BF112" s="14">
        <v>72662</v>
      </c>
      <c r="BG112" s="11">
        <f>Table14[[#This Row],[Chinese_Voters_GE15]]/Table14[[#This Row],[All_Voters_GE15]]</f>
        <v>0.2969286344764458</v>
      </c>
      <c r="BH112" s="14">
        <v>67126</v>
      </c>
      <c r="BI112" s="11">
        <f>Table14[[#This Row],[India_Voters_GE15]]/Table14[[#This Row],[All_Voters_GE15]]</f>
        <v>0.27430612311615288</v>
      </c>
      <c r="BJ112" s="14">
        <v>46</v>
      </c>
      <c r="BK112" s="14">
        <v>3262</v>
      </c>
      <c r="BL112" s="14">
        <v>746</v>
      </c>
      <c r="BM112" s="14">
        <v>1107</v>
      </c>
      <c r="BN112" s="14">
        <f>Table14[[#This Row],[Lain_Voters_GE15]]+Table14[[#This Row],[Swak_Voters_GE15]]+Table14[[#This Row],[Sabah_Voters_GE15]]+Table14[[#This Row],[OA_Voters_GE15]]</f>
        <v>5161</v>
      </c>
      <c r="BO112" s="11">
        <f>Table14[[#This Row],[Base_Stock_GE15]]/Table14[[#This Row],[All_Voters_GE15]]</f>
        <v>0.16774412370459968</v>
      </c>
      <c r="BP112" s="14">
        <v>13362</v>
      </c>
      <c r="BQ112" s="10">
        <v>94666</v>
      </c>
      <c r="BR112" s="44">
        <v>57051</v>
      </c>
      <c r="BS112" s="10">
        <v>20283</v>
      </c>
      <c r="BT112" s="10">
        <v>120712</v>
      </c>
      <c r="BU112" s="10">
        <v>76096</v>
      </c>
      <c r="BV112" s="10">
        <v>27621</v>
      </c>
      <c r="BW112" s="10">
        <f t="shared" si="30"/>
        <v>140995</v>
      </c>
      <c r="BX112" s="10">
        <f t="shared" si="31"/>
        <v>103717</v>
      </c>
      <c r="BY112" s="14">
        <v>271854</v>
      </c>
      <c r="BZ112" s="14">
        <v>0</v>
      </c>
      <c r="CA112" s="14">
        <v>36</v>
      </c>
      <c r="CB112" s="14">
        <v>271818</v>
      </c>
      <c r="CC112" s="14">
        <v>113915</v>
      </c>
      <c r="CD112" s="14">
        <v>80711</v>
      </c>
      <c r="CE112" s="14">
        <v>70753</v>
      </c>
      <c r="CF112" s="14">
        <v>52</v>
      </c>
      <c r="CG112" s="14">
        <v>3896</v>
      </c>
      <c r="CH112" s="14">
        <v>965</v>
      </c>
      <c r="CI112" s="14">
        <v>1562</v>
      </c>
      <c r="CJ112" s="14">
        <f t="shared" si="32"/>
        <v>6475</v>
      </c>
      <c r="CK112" s="14">
        <v>133809</v>
      </c>
      <c r="CL112" s="14">
        <v>138045</v>
      </c>
      <c r="CM112" s="14">
        <v>147814</v>
      </c>
      <c r="CN112" s="11">
        <f t="shared" si="33"/>
        <v>0.54372567628212198</v>
      </c>
      <c r="CO112" s="14">
        <v>124040</v>
      </c>
      <c r="CP112" s="11">
        <f t="shared" si="34"/>
        <v>0.45627432371787796</v>
      </c>
      <c r="CQ112" s="29">
        <v>22597</v>
      </c>
      <c r="CR112" s="29">
        <v>127233</v>
      </c>
      <c r="CS112" s="29">
        <v>81162</v>
      </c>
      <c r="CT112" s="29">
        <v>32551</v>
      </c>
      <c r="CU112" s="45">
        <v>14523</v>
      </c>
      <c r="CV112" s="45">
        <v>5938</v>
      </c>
      <c r="CW112" s="45">
        <v>5989</v>
      </c>
      <c r="CX112" s="45">
        <v>1746</v>
      </c>
      <c r="CY112" s="45">
        <v>850</v>
      </c>
      <c r="CZ112" s="45">
        <v>87</v>
      </c>
      <c r="DA112" s="45">
        <v>87</v>
      </c>
      <c r="DB112" s="45">
        <v>84</v>
      </c>
      <c r="DC112" s="45">
        <v>71</v>
      </c>
    </row>
    <row r="113" spans="1:107" x14ac:dyDescent="0.35">
      <c r="A113" s="1" t="s">
        <v>649</v>
      </c>
      <c r="B113" s="5" t="s">
        <v>0</v>
      </c>
      <c r="C113" s="3" t="s">
        <v>780</v>
      </c>
      <c r="D113" s="4" t="s">
        <v>781</v>
      </c>
      <c r="E113" s="5">
        <v>3</v>
      </c>
      <c r="F113" s="5">
        <v>45</v>
      </c>
      <c r="G113" s="2">
        <v>0.84399577494163636</v>
      </c>
      <c r="H113" s="2" t="s">
        <v>1276</v>
      </c>
      <c r="I113" s="9" t="s">
        <v>13</v>
      </c>
      <c r="J11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DR AHMAD YUNUS HAIRI </v>
      </c>
      <c r="K113" s="8">
        <v>18685</v>
      </c>
      <c r="L113" s="8" t="s">
        <v>137</v>
      </c>
      <c r="M113" s="7" t="s">
        <v>783</v>
      </c>
      <c r="N113" s="8">
        <v>51034</v>
      </c>
      <c r="O113" s="8" t="s">
        <v>23</v>
      </c>
      <c r="P113" s="7" t="s">
        <v>784</v>
      </c>
      <c r="Q113" s="8">
        <v>52867</v>
      </c>
      <c r="R113" s="8" t="s">
        <v>12</v>
      </c>
      <c r="S113" s="7" t="s">
        <v>782</v>
      </c>
      <c r="T113" s="10">
        <v>1833</v>
      </c>
      <c r="U113" s="10">
        <v>0</v>
      </c>
      <c r="V113" s="10">
        <v>0</v>
      </c>
      <c r="W113" s="10">
        <v>1</v>
      </c>
      <c r="X113" s="10">
        <v>50279</v>
      </c>
      <c r="Y113" s="12" t="s">
        <v>26</v>
      </c>
      <c r="Z113" s="12" t="s">
        <v>1277</v>
      </c>
      <c r="AA113" s="13" t="s">
        <v>785</v>
      </c>
      <c r="AB113" s="14">
        <v>17112</v>
      </c>
      <c r="AC113" s="15" t="s">
        <v>674</v>
      </c>
      <c r="AD113" s="16">
        <v>49988</v>
      </c>
      <c r="AE113" s="14">
        <v>26127</v>
      </c>
      <c r="AF113" s="14">
        <v>18731</v>
      </c>
      <c r="AG113" s="14">
        <v>43239</v>
      </c>
      <c r="AH113" s="14" t="s">
        <v>17</v>
      </c>
      <c r="AI113" s="15" t="s">
        <v>29</v>
      </c>
      <c r="AJ113" s="14">
        <v>0</v>
      </c>
      <c r="AK113" s="14">
        <v>1</v>
      </c>
      <c r="AL113" s="14">
        <v>0</v>
      </c>
      <c r="AM113" s="51">
        <v>102406</v>
      </c>
      <c r="AN113" s="51">
        <v>58248</v>
      </c>
      <c r="AO113" s="51">
        <v>24605</v>
      </c>
      <c r="AP113" s="51">
        <v>16717</v>
      </c>
      <c r="AQ113" s="51">
        <v>455</v>
      </c>
      <c r="AR113" s="51">
        <v>516</v>
      </c>
      <c r="AS113" s="51">
        <v>106</v>
      </c>
      <c r="AT113" s="51">
        <v>1759</v>
      </c>
      <c r="AU113" s="51">
        <v>50733</v>
      </c>
      <c r="AV113" s="51">
        <v>51673</v>
      </c>
      <c r="AW113" s="51">
        <v>45143</v>
      </c>
      <c r="AX113" s="51">
        <v>57263</v>
      </c>
      <c r="AY113" s="14">
        <v>29150</v>
      </c>
      <c r="AZ113" s="14">
        <v>148637</v>
      </c>
      <c r="BA113" s="14">
        <v>12</v>
      </c>
      <c r="BB113" s="14">
        <v>1087</v>
      </c>
      <c r="BC113" s="14">
        <v>147538</v>
      </c>
      <c r="BD113" s="14">
        <v>83209</v>
      </c>
      <c r="BE113" s="11">
        <f>Table14[[#This Row],[Melayu_Voters_GE15]]/Table14[[#This Row],[All_Voters_GE15]]</f>
        <v>0.55981350538560382</v>
      </c>
      <c r="BF113" s="14">
        <v>35085</v>
      </c>
      <c r="BG113" s="11">
        <f>Table14[[#This Row],[Chinese_Voters_GE15]]/Table14[[#This Row],[All_Voters_GE15]]</f>
        <v>0.2360448609700142</v>
      </c>
      <c r="BH113" s="14">
        <v>25678</v>
      </c>
      <c r="BI113" s="11">
        <f>Table14[[#This Row],[India_Voters_GE15]]/Table14[[#This Row],[All_Voters_GE15]]</f>
        <v>0.17275644691429456</v>
      </c>
      <c r="BJ113" s="14">
        <v>3000</v>
      </c>
      <c r="BK113" s="14">
        <v>644</v>
      </c>
      <c r="BL113" s="14">
        <v>218</v>
      </c>
      <c r="BM113" s="14">
        <v>803</v>
      </c>
      <c r="BN113" s="14">
        <f>Table14[[#This Row],[Lain_Voters_GE15]]+Table14[[#This Row],[Swak_Voters_GE15]]+Table14[[#This Row],[Sabah_Voters_GE15]]+Table14[[#This Row],[OA_Voters_GE15]]</f>
        <v>4665</v>
      </c>
      <c r="BO113" s="11">
        <f>Table14[[#This Row],[Base_Stock_GE15]]/Table14[[#This Row],[All_Voters_GE15]]</f>
        <v>0.33826705329090334</v>
      </c>
      <c r="BP113" s="14">
        <v>37885</v>
      </c>
      <c r="BQ113" s="10">
        <v>47983</v>
      </c>
      <c r="BR113" s="44">
        <v>30332</v>
      </c>
      <c r="BS113" s="10">
        <v>10509</v>
      </c>
      <c r="BT113" s="10">
        <v>71981</v>
      </c>
      <c r="BU113" s="10">
        <v>45608</v>
      </c>
      <c r="BV113" s="10">
        <v>20539</v>
      </c>
      <c r="BW113" s="10">
        <f t="shared" si="30"/>
        <v>82490</v>
      </c>
      <c r="BX113" s="10">
        <f t="shared" si="31"/>
        <v>66147</v>
      </c>
      <c r="BY113" s="14">
        <v>161870</v>
      </c>
      <c r="BZ113" s="14">
        <v>0</v>
      </c>
      <c r="CA113" s="14">
        <v>1017</v>
      </c>
      <c r="CB113" s="14">
        <v>160853</v>
      </c>
      <c r="CC113" s="14">
        <v>93063</v>
      </c>
      <c r="CD113" s="14">
        <v>36761</v>
      </c>
      <c r="CE113" s="14">
        <v>26645</v>
      </c>
      <c r="CF113" s="14">
        <v>3256</v>
      </c>
      <c r="CG113" s="14">
        <v>829</v>
      </c>
      <c r="CH113" s="14">
        <v>313</v>
      </c>
      <c r="CI113" s="14">
        <v>1003</v>
      </c>
      <c r="CJ113" s="14">
        <f t="shared" si="32"/>
        <v>5401</v>
      </c>
      <c r="CK113" s="14">
        <v>80427</v>
      </c>
      <c r="CL113" s="14">
        <v>81443</v>
      </c>
      <c r="CM113" s="14">
        <v>83653</v>
      </c>
      <c r="CN113" s="11">
        <f t="shared" si="33"/>
        <v>0.51679125223945144</v>
      </c>
      <c r="CO113" s="14">
        <v>78217</v>
      </c>
      <c r="CP113" s="11">
        <f t="shared" si="34"/>
        <v>0.48320874776054856</v>
      </c>
      <c r="CQ113" s="29">
        <v>11892</v>
      </c>
      <c r="CR113" s="29">
        <v>74224</v>
      </c>
      <c r="CS113" s="29">
        <v>49116</v>
      </c>
      <c r="CT113" s="29">
        <v>22684</v>
      </c>
      <c r="CU113" s="45">
        <v>15220</v>
      </c>
      <c r="CV113" s="45">
        <v>5258</v>
      </c>
      <c r="CW113" s="45">
        <v>7093</v>
      </c>
      <c r="CX113" s="45">
        <v>1896</v>
      </c>
      <c r="CY113" s="45">
        <v>973</v>
      </c>
      <c r="CZ113" s="45">
        <v>94</v>
      </c>
      <c r="DA113" s="45">
        <v>94</v>
      </c>
      <c r="DB113" s="45">
        <v>90</v>
      </c>
      <c r="DC113" s="45">
        <v>83</v>
      </c>
    </row>
    <row r="114" spans="1:107" x14ac:dyDescent="0.35">
      <c r="A114" s="1" t="s">
        <v>649</v>
      </c>
      <c r="B114" s="5" t="s">
        <v>0</v>
      </c>
      <c r="C114" s="3" t="s">
        <v>786</v>
      </c>
      <c r="D114" s="4" t="s">
        <v>787</v>
      </c>
      <c r="E114" s="5">
        <v>3</v>
      </c>
      <c r="F114" s="5">
        <v>51</v>
      </c>
      <c r="G114" s="2">
        <v>0.83115824302691632</v>
      </c>
      <c r="H114" s="2" t="s">
        <v>1276</v>
      </c>
      <c r="I114" s="17" t="s">
        <v>121</v>
      </c>
      <c r="J11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AIMAN ATHIRAH </v>
      </c>
      <c r="K114" s="8">
        <v>31097</v>
      </c>
      <c r="L114" s="8" t="s">
        <v>8</v>
      </c>
      <c r="M114" s="7" t="s">
        <v>789</v>
      </c>
      <c r="N114" s="8">
        <v>56264</v>
      </c>
      <c r="O114" s="8" t="s">
        <v>214</v>
      </c>
      <c r="P114" s="7" t="s">
        <v>788</v>
      </c>
      <c r="Q114" s="8">
        <v>47315</v>
      </c>
      <c r="R114" s="8" t="s">
        <v>25</v>
      </c>
      <c r="S114" s="7" t="s">
        <v>790</v>
      </c>
      <c r="T114" s="10">
        <v>8949</v>
      </c>
      <c r="U114" s="10">
        <v>0</v>
      </c>
      <c r="V114" s="10">
        <v>1</v>
      </c>
      <c r="W114" s="10">
        <v>0</v>
      </c>
      <c r="X114" s="10">
        <v>62370</v>
      </c>
      <c r="Y114" s="12" t="s">
        <v>72</v>
      </c>
      <c r="Z114" s="12" t="s">
        <v>1277</v>
      </c>
      <c r="AA114" s="13" t="s">
        <v>791</v>
      </c>
      <c r="AB114" s="14">
        <v>18705</v>
      </c>
      <c r="AC114" s="15" t="s">
        <v>792</v>
      </c>
      <c r="AD114" s="16">
        <v>54063</v>
      </c>
      <c r="AE114" s="14">
        <v>28035</v>
      </c>
      <c r="AF114" s="14">
        <v>15882</v>
      </c>
      <c r="AG114" s="14">
        <v>46740</v>
      </c>
      <c r="AH114" s="14" t="s">
        <v>17</v>
      </c>
      <c r="AI114" s="15" t="s">
        <v>10</v>
      </c>
      <c r="AJ114" s="14">
        <v>0</v>
      </c>
      <c r="AK114" s="14">
        <v>1</v>
      </c>
      <c r="AL114" s="14">
        <v>0</v>
      </c>
      <c r="AM114" s="51">
        <v>104508</v>
      </c>
      <c r="AN114" s="51">
        <v>65053</v>
      </c>
      <c r="AO114" s="51">
        <v>21250</v>
      </c>
      <c r="AP114" s="51">
        <v>14898</v>
      </c>
      <c r="AQ114" s="51">
        <v>513</v>
      </c>
      <c r="AR114" s="51">
        <v>442</v>
      </c>
      <c r="AS114" s="51">
        <v>209</v>
      </c>
      <c r="AT114" s="51">
        <v>2143</v>
      </c>
      <c r="AU114" s="51">
        <v>52403</v>
      </c>
      <c r="AV114" s="51">
        <v>52105</v>
      </c>
      <c r="AW114" s="51">
        <v>44123</v>
      </c>
      <c r="AX114" s="51">
        <v>60385</v>
      </c>
      <c r="AY114" s="14">
        <v>30028.666666666668</v>
      </c>
      <c r="AZ114" s="14">
        <v>168039</v>
      </c>
      <c r="BA114" s="14">
        <v>51</v>
      </c>
      <c r="BB114" s="14">
        <v>1850</v>
      </c>
      <c r="BC114" s="14">
        <v>166138</v>
      </c>
      <c r="BD114" s="14">
        <v>108050</v>
      </c>
      <c r="BE114" s="11">
        <f>Table14[[#This Row],[Melayu_Voters_GE15]]/Table14[[#This Row],[All_Voters_GE15]]</f>
        <v>0.64300549277251118</v>
      </c>
      <c r="BF114" s="14">
        <v>31951</v>
      </c>
      <c r="BG114" s="11">
        <f>Table14[[#This Row],[Chinese_Voters_GE15]]/Table14[[#This Row],[All_Voters_GE15]]</f>
        <v>0.19014038407750583</v>
      </c>
      <c r="BH114" s="14">
        <v>22005</v>
      </c>
      <c r="BI114" s="11">
        <f>Table14[[#This Row],[India_Voters_GE15]]/Table14[[#This Row],[All_Voters_GE15]]</f>
        <v>0.13095174334529483</v>
      </c>
      <c r="BJ114" s="14">
        <v>3543</v>
      </c>
      <c r="BK114" s="14">
        <v>1204</v>
      </c>
      <c r="BL114" s="14">
        <v>610</v>
      </c>
      <c r="BM114" s="14">
        <v>676</v>
      </c>
      <c r="BN114" s="14">
        <f>Table14[[#This Row],[Lain_Voters_GE15]]+Table14[[#This Row],[Swak_Voters_GE15]]+Table14[[#This Row],[Sabah_Voters_GE15]]+Table14[[#This Row],[OA_Voters_GE15]]</f>
        <v>6033</v>
      </c>
      <c r="BO114" s="11">
        <f>Table14[[#This Row],[Base_Stock_GE15]]/Table14[[#This Row],[All_Voters_GE15]]</f>
        <v>0.37116383696641853</v>
      </c>
      <c r="BP114" s="14">
        <v>49437</v>
      </c>
      <c r="BQ114" s="10">
        <v>63283</v>
      </c>
      <c r="BR114" s="44">
        <v>38930</v>
      </c>
      <c r="BS114" s="10">
        <v>13957</v>
      </c>
      <c r="BT114" s="10">
        <v>82073</v>
      </c>
      <c r="BU114" s="10">
        <v>51273</v>
      </c>
      <c r="BV114" s="10">
        <v>20736</v>
      </c>
      <c r="BW114" s="10">
        <f t="shared" si="30"/>
        <v>96030</v>
      </c>
      <c r="BX114" s="10">
        <f t="shared" si="31"/>
        <v>72009</v>
      </c>
      <c r="BY114" s="14">
        <v>190656</v>
      </c>
      <c r="BZ114" s="14">
        <v>0</v>
      </c>
      <c r="CA114" s="14">
        <v>1835</v>
      </c>
      <c r="CB114" s="14">
        <v>188821</v>
      </c>
      <c r="CC114" s="14">
        <v>125902</v>
      </c>
      <c r="CD114" s="14">
        <v>35161</v>
      </c>
      <c r="CE114" s="14">
        <v>22679</v>
      </c>
      <c r="CF114" s="14">
        <v>3804</v>
      </c>
      <c r="CG114" s="14">
        <v>1461</v>
      </c>
      <c r="CH114" s="14">
        <v>808</v>
      </c>
      <c r="CI114" s="14">
        <v>841</v>
      </c>
      <c r="CJ114" s="14">
        <f t="shared" si="32"/>
        <v>6914</v>
      </c>
      <c r="CK114" s="14">
        <v>95488</v>
      </c>
      <c r="CL114" s="14">
        <v>95168</v>
      </c>
      <c r="CM114" s="14">
        <v>103834</v>
      </c>
      <c r="CN114" s="11">
        <f t="shared" si="33"/>
        <v>0.54461438402148377</v>
      </c>
      <c r="CO114" s="14">
        <v>86822</v>
      </c>
      <c r="CP114" s="11">
        <f t="shared" si="34"/>
        <v>0.45538561597851629</v>
      </c>
      <c r="CQ114" s="29">
        <v>16853</v>
      </c>
      <c r="CR114" s="29">
        <v>87487</v>
      </c>
      <c r="CS114" s="29">
        <v>55653</v>
      </c>
      <c r="CT114" s="29">
        <v>23358</v>
      </c>
      <c r="CU114" s="45">
        <v>22408</v>
      </c>
      <c r="CV114" s="45">
        <v>8457</v>
      </c>
      <c r="CW114" s="45">
        <v>9716</v>
      </c>
      <c r="CX114" s="45">
        <v>2867</v>
      </c>
      <c r="CY114" s="45">
        <v>1368</v>
      </c>
      <c r="CZ114" s="45">
        <v>142</v>
      </c>
      <c r="DA114" s="45">
        <v>142</v>
      </c>
      <c r="DB114" s="45">
        <v>136</v>
      </c>
      <c r="DC114" s="45">
        <v>113</v>
      </c>
    </row>
    <row r="115" spans="1:107" x14ac:dyDescent="0.35">
      <c r="A115" s="1" t="s">
        <v>793</v>
      </c>
      <c r="B115" s="5" t="s">
        <v>0</v>
      </c>
      <c r="C115" s="3" t="s">
        <v>794</v>
      </c>
      <c r="D115" s="4" t="s">
        <v>795</v>
      </c>
      <c r="E115" s="5"/>
      <c r="F115" s="5">
        <v>19</v>
      </c>
      <c r="G115" s="2">
        <v>0.7706103834119955</v>
      </c>
      <c r="H115" s="2" t="s">
        <v>1276</v>
      </c>
      <c r="I115" s="17" t="s">
        <v>121</v>
      </c>
      <c r="J11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LIM LIP ENG </v>
      </c>
      <c r="K115" s="8">
        <v>3227</v>
      </c>
      <c r="L115" s="8" t="s">
        <v>77</v>
      </c>
      <c r="M115" s="7" t="s">
        <v>797</v>
      </c>
      <c r="N115" s="8">
        <v>64308</v>
      </c>
      <c r="O115" s="8" t="s">
        <v>102</v>
      </c>
      <c r="P115" s="7" t="s">
        <v>796</v>
      </c>
      <c r="Q115" s="8">
        <v>2795</v>
      </c>
      <c r="R115" s="8" t="s">
        <v>370</v>
      </c>
      <c r="S115" s="7" t="s">
        <v>798</v>
      </c>
      <c r="T115" s="10">
        <v>61081</v>
      </c>
      <c r="U115" s="10">
        <v>0</v>
      </c>
      <c r="V115" s="10">
        <v>1</v>
      </c>
      <c r="W115" s="10">
        <v>0</v>
      </c>
      <c r="X115" s="10">
        <v>1777</v>
      </c>
      <c r="Y115" s="12" t="s">
        <v>319</v>
      </c>
      <c r="Z115" s="12" t="s">
        <v>1277</v>
      </c>
      <c r="AA115" s="13" t="s">
        <v>799</v>
      </c>
      <c r="AB115" s="14">
        <v>51628</v>
      </c>
      <c r="AC115" s="15" t="s">
        <v>800</v>
      </c>
      <c r="AD115" s="16">
        <v>8999</v>
      </c>
      <c r="AE115" s="14">
        <v>4888</v>
      </c>
      <c r="AF115" s="14"/>
      <c r="AG115" s="14">
        <v>56516</v>
      </c>
      <c r="AH115" s="14" t="s">
        <v>339</v>
      </c>
      <c r="AI115" s="15" t="s">
        <v>321</v>
      </c>
      <c r="AJ115" s="14">
        <v>0</v>
      </c>
      <c r="AK115" s="14">
        <v>1</v>
      </c>
      <c r="AL115" s="14">
        <v>0</v>
      </c>
      <c r="AM115" s="51">
        <v>72696</v>
      </c>
      <c r="AN115" s="51">
        <v>3294</v>
      </c>
      <c r="AO115" s="51">
        <v>64522</v>
      </c>
      <c r="AP115" s="51">
        <v>4448</v>
      </c>
      <c r="AQ115" s="51">
        <v>161</v>
      </c>
      <c r="AR115" s="51">
        <v>235</v>
      </c>
      <c r="AS115" s="51">
        <v>34</v>
      </c>
      <c r="AT115" s="51">
        <v>2</v>
      </c>
      <c r="AU115" s="51">
        <v>35919</v>
      </c>
      <c r="AV115" s="51">
        <v>36777</v>
      </c>
      <c r="AW115" s="51">
        <v>17820</v>
      </c>
      <c r="AX115" s="51">
        <v>54876</v>
      </c>
      <c r="AY115" s="14">
        <v>8040.666666666667</v>
      </c>
      <c r="AZ115" s="14">
        <v>94285</v>
      </c>
      <c r="BA115" s="14">
        <v>8</v>
      </c>
      <c r="BB115" s="14">
        <v>283</v>
      </c>
      <c r="BC115" s="14">
        <v>93994</v>
      </c>
      <c r="BD115" s="14">
        <v>5624</v>
      </c>
      <c r="BE115" s="11">
        <f>Table14[[#This Row],[Melayu_Voters_GE15]]/Table14[[#This Row],[All_Voters_GE15]]</f>
        <v>5.9648936734369197E-2</v>
      </c>
      <c r="BF115" s="14">
        <v>80565</v>
      </c>
      <c r="BG115" s="11">
        <f>Table14[[#This Row],[Chinese_Voters_GE15]]/Table14[[#This Row],[All_Voters_GE15]]</f>
        <v>0.85448374608898547</v>
      </c>
      <c r="BH115" s="14">
        <v>6821</v>
      </c>
      <c r="BI115" s="11">
        <f>Table14[[#This Row],[India_Voters_GE15]]/Table14[[#This Row],[All_Voters_GE15]]</f>
        <v>7.2344487458238321E-2</v>
      </c>
      <c r="BJ115" s="14">
        <v>9</v>
      </c>
      <c r="BK115" s="14">
        <v>841</v>
      </c>
      <c r="BL115" s="14">
        <v>126</v>
      </c>
      <c r="BM115" s="14">
        <v>299</v>
      </c>
      <c r="BN115" s="14">
        <f>Table14[[#This Row],[Lain_Voters_GE15]]+Table14[[#This Row],[Swak_Voters_GE15]]+Table14[[#This Row],[Sabah_Voters_GE15]]+Table14[[#This Row],[OA_Voters_GE15]]</f>
        <v>1275</v>
      </c>
      <c r="BO115" s="11">
        <f>Table14[[#This Row],[Base_Stock_GE15]]/Table14[[#This Row],[All_Voters_GE15]]</f>
        <v>1.8847112478124834E-2</v>
      </c>
      <c r="BP115" s="14">
        <v>87</v>
      </c>
      <c r="BQ115" s="10">
        <v>26178</v>
      </c>
      <c r="BR115" s="44">
        <v>10969</v>
      </c>
      <c r="BS115" s="10">
        <v>3519</v>
      </c>
      <c r="BT115" s="10">
        <v>30902</v>
      </c>
      <c r="BU115" s="10">
        <v>35497</v>
      </c>
      <c r="BV115" s="10">
        <v>24367</v>
      </c>
      <c r="BW115" s="10">
        <f t="shared" si="30"/>
        <v>34421</v>
      </c>
      <c r="BX115" s="10">
        <f t="shared" si="31"/>
        <v>59864</v>
      </c>
      <c r="BY115" s="14">
        <v>92331</v>
      </c>
      <c r="BZ115" s="14">
        <v>0</v>
      </c>
      <c r="CA115" s="14">
        <v>278</v>
      </c>
      <c r="CB115" s="14">
        <v>92053</v>
      </c>
      <c r="CC115" s="14">
        <v>6032</v>
      </c>
      <c r="CD115" s="14">
        <v>78249</v>
      </c>
      <c r="CE115" s="14">
        <v>6659</v>
      </c>
      <c r="CF115" s="14">
        <v>9</v>
      </c>
      <c r="CG115" s="14">
        <v>907</v>
      </c>
      <c r="CH115" s="14">
        <v>152</v>
      </c>
      <c r="CI115" s="14">
        <v>323</v>
      </c>
      <c r="CJ115" s="14">
        <f t="shared" si="32"/>
        <v>1391</v>
      </c>
      <c r="CK115" s="14">
        <v>46341</v>
      </c>
      <c r="CL115" s="14">
        <v>45990</v>
      </c>
      <c r="CM115" s="14">
        <v>31827</v>
      </c>
      <c r="CN115" s="11">
        <f t="shared" si="33"/>
        <v>0.34470546187087758</v>
      </c>
      <c r="CO115" s="14">
        <v>60504</v>
      </c>
      <c r="CP115" s="11">
        <f t="shared" si="34"/>
        <v>0.65529453812912242</v>
      </c>
      <c r="CQ115" s="29">
        <v>3510</v>
      </c>
      <c r="CR115" s="29">
        <v>30713</v>
      </c>
      <c r="CS115" s="29">
        <v>34717</v>
      </c>
      <c r="CT115" s="29">
        <v>23335</v>
      </c>
      <c r="CU115" s="45">
        <v>6310</v>
      </c>
      <c r="CV115" s="45">
        <v>1762</v>
      </c>
      <c r="CW115" s="45">
        <v>2737</v>
      </c>
      <c r="CX115" s="45">
        <v>1077</v>
      </c>
      <c r="CY115" s="45">
        <v>734</v>
      </c>
      <c r="CZ115" s="45">
        <v>31</v>
      </c>
      <c r="DA115" s="45">
        <v>31</v>
      </c>
      <c r="DB115" s="45">
        <v>31</v>
      </c>
      <c r="DC115" s="45">
        <v>30</v>
      </c>
    </row>
    <row r="116" spans="1:107" x14ac:dyDescent="0.35">
      <c r="A116" s="1" t="s">
        <v>793</v>
      </c>
      <c r="B116" s="5" t="s">
        <v>0</v>
      </c>
      <c r="C116" s="3" t="s">
        <v>801</v>
      </c>
      <c r="D116" s="4" t="s">
        <v>802</v>
      </c>
      <c r="E116" s="5"/>
      <c r="F116" s="5">
        <v>23</v>
      </c>
      <c r="G116" s="2">
        <v>0.77146219579670305</v>
      </c>
      <c r="H116" s="2" t="s">
        <v>1276</v>
      </c>
      <c r="I116" s="17" t="s">
        <v>121</v>
      </c>
      <c r="J11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PRABAKARAN A/L M.PARAMESWARAN </v>
      </c>
      <c r="K116" s="8">
        <v>10398</v>
      </c>
      <c r="L116" s="8" t="s">
        <v>137</v>
      </c>
      <c r="M116" s="7" t="s">
        <v>804</v>
      </c>
      <c r="N116" s="8">
        <v>45716</v>
      </c>
      <c r="O116" s="8" t="s">
        <v>23</v>
      </c>
      <c r="P116" s="7" t="s">
        <v>803</v>
      </c>
      <c r="Q116" s="8">
        <v>23475</v>
      </c>
      <c r="R116" s="8" t="s">
        <v>12</v>
      </c>
      <c r="S116" s="7" t="s">
        <v>805</v>
      </c>
      <c r="T116" s="10">
        <v>22241</v>
      </c>
      <c r="U116" s="10">
        <v>0</v>
      </c>
      <c r="V116" s="10">
        <v>1</v>
      </c>
      <c r="W116" s="10">
        <v>0</v>
      </c>
      <c r="X116" s="10">
        <v>28439</v>
      </c>
      <c r="Y116" s="12" t="s">
        <v>806</v>
      </c>
      <c r="Z116" s="12" t="s">
        <v>1277</v>
      </c>
      <c r="AA116" s="13" t="s">
        <v>807</v>
      </c>
      <c r="AB116" s="14">
        <v>24438</v>
      </c>
      <c r="AC116" s="15" t="s">
        <v>656</v>
      </c>
      <c r="AD116" s="16">
        <v>21683</v>
      </c>
      <c r="AE116" s="14">
        <v>13687</v>
      </c>
      <c r="AF116" s="14">
        <v>10610</v>
      </c>
      <c r="AG116" s="14">
        <v>38125</v>
      </c>
      <c r="AH116" s="14" t="s">
        <v>339</v>
      </c>
      <c r="AI116" s="15" t="s">
        <v>808</v>
      </c>
      <c r="AJ116" s="14">
        <v>0</v>
      </c>
      <c r="AK116" s="14">
        <v>0</v>
      </c>
      <c r="AL116" s="14">
        <v>0</v>
      </c>
      <c r="AM116" s="51">
        <v>76328</v>
      </c>
      <c r="AN116" s="51">
        <v>32441</v>
      </c>
      <c r="AO116" s="51">
        <v>29218</v>
      </c>
      <c r="AP116" s="51">
        <v>13585</v>
      </c>
      <c r="AQ116" s="51">
        <v>477</v>
      </c>
      <c r="AR116" s="51">
        <v>277</v>
      </c>
      <c r="AS116" s="51">
        <v>316</v>
      </c>
      <c r="AT116" s="51">
        <v>14</v>
      </c>
      <c r="AU116" s="51">
        <v>37805</v>
      </c>
      <c r="AV116" s="51">
        <v>38523</v>
      </c>
      <c r="AW116" s="51">
        <v>28399</v>
      </c>
      <c r="AX116" s="51">
        <v>47929</v>
      </c>
      <c r="AY116" s="14">
        <v>20801.666666666668</v>
      </c>
      <c r="AZ116" s="14">
        <v>113863</v>
      </c>
      <c r="BA116" s="14">
        <v>19</v>
      </c>
      <c r="BB116" s="14">
        <v>2978</v>
      </c>
      <c r="BC116" s="14">
        <v>110866</v>
      </c>
      <c r="BD116" s="14">
        <v>51746</v>
      </c>
      <c r="BE116" s="11">
        <f>Table14[[#This Row],[Melayu_Voters_GE15]]/Table14[[#This Row],[All_Voters_GE15]]</f>
        <v>0.45445842811097548</v>
      </c>
      <c r="BF116" s="14">
        <v>39289</v>
      </c>
      <c r="BG116" s="11">
        <f>Table14[[#This Row],[Chinese_Voters_GE15]]/Table14[[#This Row],[All_Voters_GE15]]</f>
        <v>0.34505502226359747</v>
      </c>
      <c r="BH116" s="14">
        <v>21212</v>
      </c>
      <c r="BI116" s="11">
        <f>Table14[[#This Row],[India_Voters_GE15]]/Table14[[#This Row],[All_Voters_GE15]]</f>
        <v>0.1862940551364359</v>
      </c>
      <c r="BJ116" s="14">
        <v>41</v>
      </c>
      <c r="BK116" s="14">
        <v>676</v>
      </c>
      <c r="BL116" s="14">
        <v>476</v>
      </c>
      <c r="BM116" s="14">
        <v>423</v>
      </c>
      <c r="BN116" s="14">
        <f>Table14[[#This Row],[Lain_Voters_GE15]]+Table14[[#This Row],[Swak_Voters_GE15]]+Table14[[#This Row],[Sabah_Voters_GE15]]+Table14[[#This Row],[OA_Voters_GE15]]</f>
        <v>1616</v>
      </c>
      <c r="BO116" s="11">
        <f>Table14[[#This Row],[Base_Stock_GE15]]/Table14[[#This Row],[All_Voters_GE15]]</f>
        <v>0.24976506854728928</v>
      </c>
      <c r="BP116" s="14">
        <v>19008</v>
      </c>
      <c r="BQ116" s="10">
        <v>41959</v>
      </c>
      <c r="BR116" s="44">
        <v>18510</v>
      </c>
      <c r="BS116" s="10">
        <v>5953</v>
      </c>
      <c r="BT116" s="10">
        <v>51701</v>
      </c>
      <c r="BU116" s="10">
        <v>35762</v>
      </c>
      <c r="BV116" s="10">
        <v>20447</v>
      </c>
      <c r="BW116" s="10">
        <f t="shared" si="30"/>
        <v>57654</v>
      </c>
      <c r="BX116" s="10">
        <f t="shared" si="31"/>
        <v>56209</v>
      </c>
      <c r="BY116" s="14">
        <v>116421</v>
      </c>
      <c r="BZ116" s="14">
        <v>0</v>
      </c>
      <c r="CA116" s="14">
        <v>2800</v>
      </c>
      <c r="CB116" s="14">
        <v>113621</v>
      </c>
      <c r="CC116" s="14">
        <v>54790</v>
      </c>
      <c r="CD116" s="14">
        <v>38748</v>
      </c>
      <c r="CE116" s="14">
        <v>21076</v>
      </c>
      <c r="CF116" s="14">
        <v>55</v>
      </c>
      <c r="CG116" s="14">
        <v>753</v>
      </c>
      <c r="CH116" s="14">
        <v>506</v>
      </c>
      <c r="CI116" s="14">
        <v>493</v>
      </c>
      <c r="CJ116" s="14">
        <f t="shared" si="32"/>
        <v>1807</v>
      </c>
      <c r="CK116" s="14">
        <v>58038</v>
      </c>
      <c r="CL116" s="14">
        <v>58383</v>
      </c>
      <c r="CM116" s="14">
        <v>55054</v>
      </c>
      <c r="CN116" s="11">
        <f t="shared" si="33"/>
        <v>0.47288719389113648</v>
      </c>
      <c r="CO116" s="14">
        <v>61367</v>
      </c>
      <c r="CP116" s="11">
        <f t="shared" si="34"/>
        <v>0.52711280610886357</v>
      </c>
      <c r="CQ116" s="29">
        <v>5925</v>
      </c>
      <c r="CR116" s="29">
        <v>51080</v>
      </c>
      <c r="CS116" s="29">
        <v>34937</v>
      </c>
      <c r="CT116" s="29">
        <v>19762</v>
      </c>
      <c r="CU116" s="45">
        <v>12520</v>
      </c>
      <c r="CV116" s="45">
        <v>4060</v>
      </c>
      <c r="CW116" s="45">
        <v>5218</v>
      </c>
      <c r="CX116" s="45">
        <v>2354</v>
      </c>
      <c r="CY116" s="45">
        <v>888</v>
      </c>
      <c r="CZ116" s="45">
        <v>57</v>
      </c>
      <c r="DA116" s="45">
        <v>57</v>
      </c>
      <c r="DB116" s="45">
        <v>57</v>
      </c>
      <c r="DC116" s="45">
        <v>56</v>
      </c>
    </row>
    <row r="117" spans="1:107" x14ac:dyDescent="0.35">
      <c r="A117" s="1" t="s">
        <v>793</v>
      </c>
      <c r="B117" s="5" t="s">
        <v>0</v>
      </c>
      <c r="C117" s="3" t="s">
        <v>809</v>
      </c>
      <c r="D117" s="4" t="s">
        <v>810</v>
      </c>
      <c r="E117" s="5"/>
      <c r="F117" s="5">
        <v>21</v>
      </c>
      <c r="G117" s="2">
        <v>0.77701686294390926</v>
      </c>
      <c r="H117" s="2" t="s">
        <v>1276</v>
      </c>
      <c r="I117" s="17" t="s">
        <v>121</v>
      </c>
      <c r="J11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ZAHIR HASSAN </v>
      </c>
      <c r="K117" s="8">
        <v>19595</v>
      </c>
      <c r="L117" s="8" t="s">
        <v>8</v>
      </c>
      <c r="M117" s="7" t="s">
        <v>812</v>
      </c>
      <c r="N117" s="8">
        <v>46031</v>
      </c>
      <c r="O117" s="8" t="s">
        <v>23</v>
      </c>
      <c r="P117" s="7" t="s">
        <v>811</v>
      </c>
      <c r="Q117" s="8">
        <v>25335</v>
      </c>
      <c r="R117" s="8" t="s">
        <v>12</v>
      </c>
      <c r="S117" s="7" t="s">
        <v>813</v>
      </c>
      <c r="T117" s="10">
        <v>20696</v>
      </c>
      <c r="U117" s="10">
        <v>0</v>
      </c>
      <c r="V117" s="10">
        <v>1</v>
      </c>
      <c r="W117" s="10">
        <v>0</v>
      </c>
      <c r="X117" s="10">
        <v>39975</v>
      </c>
      <c r="Y117" s="12" t="s">
        <v>26</v>
      </c>
      <c r="Z117" s="12" t="s">
        <v>1277</v>
      </c>
      <c r="AA117" s="13" t="s">
        <v>814</v>
      </c>
      <c r="AB117" s="14">
        <v>24238</v>
      </c>
      <c r="AC117" s="15" t="s">
        <v>815</v>
      </c>
      <c r="AD117" s="16">
        <v>56609</v>
      </c>
      <c r="AE117" s="14">
        <v>17940</v>
      </c>
      <c r="AF117" s="14">
        <v>13490</v>
      </c>
      <c r="AG117" s="14">
        <v>42178</v>
      </c>
      <c r="AH117" s="14" t="s">
        <v>82</v>
      </c>
      <c r="AI117" s="15" t="s">
        <v>29</v>
      </c>
      <c r="AJ117" s="14">
        <v>0</v>
      </c>
      <c r="AK117" s="14">
        <v>1</v>
      </c>
      <c r="AL117" s="14">
        <v>0</v>
      </c>
      <c r="AM117" s="51">
        <v>88482</v>
      </c>
      <c r="AN117" s="51">
        <v>52922</v>
      </c>
      <c r="AO117" s="51">
        <v>26163</v>
      </c>
      <c r="AP117" s="51">
        <v>7419</v>
      </c>
      <c r="AQ117" s="51">
        <v>1009</v>
      </c>
      <c r="AR117" s="51">
        <v>443</v>
      </c>
      <c r="AS117" s="51">
        <v>491</v>
      </c>
      <c r="AT117" s="51">
        <v>35</v>
      </c>
      <c r="AU117" s="51">
        <v>42991</v>
      </c>
      <c r="AV117" s="51">
        <v>45491</v>
      </c>
      <c r="AW117" s="51">
        <v>34581</v>
      </c>
      <c r="AX117" s="51">
        <v>53901</v>
      </c>
      <c r="AY117" s="14">
        <v>21185.666666666668</v>
      </c>
      <c r="AZ117" s="14">
        <v>120323</v>
      </c>
      <c r="BA117" s="14">
        <v>31</v>
      </c>
      <c r="BB117" s="14">
        <v>2792</v>
      </c>
      <c r="BC117" s="14">
        <v>117500</v>
      </c>
      <c r="BD117" s="14">
        <v>72774</v>
      </c>
      <c r="BE117" s="11">
        <f>Table14[[#This Row],[Melayu_Voters_GE15]]/Table14[[#This Row],[All_Voters_GE15]]</f>
        <v>0.60482202072754165</v>
      </c>
      <c r="BF117" s="14">
        <v>34262</v>
      </c>
      <c r="BG117" s="11">
        <f>Table14[[#This Row],[Chinese_Voters_GE15]]/Table14[[#This Row],[All_Voters_GE15]]</f>
        <v>0.284750214007297</v>
      </c>
      <c r="BH117" s="14">
        <v>11343</v>
      </c>
      <c r="BI117" s="11">
        <f>Table14[[#This Row],[India_Voters_GE15]]/Table14[[#This Row],[All_Voters_GE15]]</f>
        <v>9.4271253210109457E-2</v>
      </c>
      <c r="BJ117" s="14">
        <v>64</v>
      </c>
      <c r="BK117" s="14">
        <v>751</v>
      </c>
      <c r="BL117" s="14">
        <v>699</v>
      </c>
      <c r="BM117" s="14">
        <v>430</v>
      </c>
      <c r="BN117" s="14">
        <f>Table14[[#This Row],[Lain_Voters_GE15]]+Table14[[#This Row],[Swak_Voters_GE15]]+Table14[[#This Row],[Sabah_Voters_GE15]]+Table14[[#This Row],[OA_Voters_GE15]]</f>
        <v>1944</v>
      </c>
      <c r="BO117" s="11">
        <f>Table14[[#This Row],[Base_Stock_GE15]]/Table14[[#This Row],[All_Voters_GE15]]</f>
        <v>0.33223074557648996</v>
      </c>
      <c r="BP117" s="14">
        <v>27989</v>
      </c>
      <c r="BQ117" s="10">
        <v>37939</v>
      </c>
      <c r="BR117" s="44">
        <v>17500</v>
      </c>
      <c r="BS117" s="10">
        <v>5587</v>
      </c>
      <c r="BT117" s="10">
        <v>54787</v>
      </c>
      <c r="BU117" s="10">
        <v>38504</v>
      </c>
      <c r="BV117" s="10">
        <v>21445</v>
      </c>
      <c r="BW117" s="10">
        <f t="shared" si="30"/>
        <v>60374</v>
      </c>
      <c r="BX117" s="10">
        <f t="shared" si="31"/>
        <v>59949</v>
      </c>
      <c r="BY117" s="14">
        <v>121200</v>
      </c>
      <c r="BZ117" s="14">
        <v>0</v>
      </c>
      <c r="CA117" s="14">
        <v>2678</v>
      </c>
      <c r="CB117" s="14">
        <v>118522</v>
      </c>
      <c r="CC117" s="14">
        <v>74183</v>
      </c>
      <c r="CD117" s="14">
        <v>33814</v>
      </c>
      <c r="CE117" s="14">
        <v>11125</v>
      </c>
      <c r="CF117" s="14">
        <v>68</v>
      </c>
      <c r="CG117" s="14">
        <v>775</v>
      </c>
      <c r="CH117" s="14">
        <v>760</v>
      </c>
      <c r="CI117" s="14">
        <v>475</v>
      </c>
      <c r="CJ117" s="14">
        <f t="shared" si="32"/>
        <v>2078</v>
      </c>
      <c r="CK117" s="14">
        <v>59684</v>
      </c>
      <c r="CL117" s="14">
        <v>61516</v>
      </c>
      <c r="CM117" s="14">
        <v>55992</v>
      </c>
      <c r="CN117" s="11">
        <f t="shared" si="33"/>
        <v>0.461980198019802</v>
      </c>
      <c r="CO117" s="14">
        <v>65208</v>
      </c>
      <c r="CP117" s="11">
        <f t="shared" si="34"/>
        <v>0.53801980198019805</v>
      </c>
      <c r="CQ117" s="29">
        <v>5552</v>
      </c>
      <c r="CR117" s="29">
        <v>54119</v>
      </c>
      <c r="CS117" s="29">
        <v>37451</v>
      </c>
      <c r="CT117" s="29">
        <v>20749</v>
      </c>
      <c r="CU117" s="45">
        <v>11719</v>
      </c>
      <c r="CV117" s="45">
        <v>3710</v>
      </c>
      <c r="CW117" s="45">
        <v>4689</v>
      </c>
      <c r="CX117" s="45">
        <v>2566</v>
      </c>
      <c r="CY117" s="45">
        <v>754</v>
      </c>
      <c r="CZ117" s="45">
        <v>64</v>
      </c>
      <c r="DA117" s="45">
        <v>64</v>
      </c>
      <c r="DB117" s="45">
        <v>64</v>
      </c>
      <c r="DC117" s="45">
        <v>60</v>
      </c>
    </row>
    <row r="118" spans="1:107" x14ac:dyDescent="0.35">
      <c r="A118" s="1" t="s">
        <v>793</v>
      </c>
      <c r="B118" s="5" t="s">
        <v>0</v>
      </c>
      <c r="C118" s="3" t="s">
        <v>816</v>
      </c>
      <c r="D118" s="4" t="s">
        <v>817</v>
      </c>
      <c r="E118" s="5"/>
      <c r="F118" s="5">
        <v>24</v>
      </c>
      <c r="G118" s="2">
        <v>0.72104101895496941</v>
      </c>
      <c r="H118" s="2" t="s">
        <v>1276</v>
      </c>
      <c r="I118" s="17" t="s">
        <v>121</v>
      </c>
      <c r="J11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HANNAH YEOH </v>
      </c>
      <c r="K118" s="8">
        <v>8304</v>
      </c>
      <c r="L118" s="8" t="s">
        <v>77</v>
      </c>
      <c r="M118" s="7" t="s">
        <v>819</v>
      </c>
      <c r="N118" s="8">
        <v>68438</v>
      </c>
      <c r="O118" s="8" t="s">
        <v>102</v>
      </c>
      <c r="P118" s="7" t="s">
        <v>818</v>
      </c>
      <c r="Q118" s="8">
        <v>8754</v>
      </c>
      <c r="R118" s="8" t="s">
        <v>370</v>
      </c>
      <c r="S118" s="7" t="s">
        <v>820</v>
      </c>
      <c r="T118" s="10">
        <v>59684</v>
      </c>
      <c r="U118" s="10">
        <v>0</v>
      </c>
      <c r="V118" s="10">
        <v>1</v>
      </c>
      <c r="W118" s="10">
        <v>0</v>
      </c>
      <c r="X118" s="10">
        <v>6120</v>
      </c>
      <c r="Y118" s="12" t="s">
        <v>319</v>
      </c>
      <c r="Z118" s="12" t="s">
        <v>1277</v>
      </c>
      <c r="AA118" s="13" t="s">
        <v>821</v>
      </c>
      <c r="AB118" s="14">
        <v>45702</v>
      </c>
      <c r="AC118" s="15" t="s">
        <v>105</v>
      </c>
      <c r="AD118" s="16">
        <v>16442</v>
      </c>
      <c r="AE118" s="14">
        <v>7422</v>
      </c>
      <c r="AF118" s="14">
        <v>4181</v>
      </c>
      <c r="AG118" s="14">
        <v>53124</v>
      </c>
      <c r="AH118" s="14" t="s">
        <v>822</v>
      </c>
      <c r="AI118" s="15" t="s">
        <v>321</v>
      </c>
      <c r="AJ118" s="14">
        <v>0</v>
      </c>
      <c r="AK118" s="14">
        <v>1</v>
      </c>
      <c r="AL118" s="14">
        <v>0</v>
      </c>
      <c r="AM118" s="51">
        <v>77956</v>
      </c>
      <c r="AN118" s="51">
        <v>21466</v>
      </c>
      <c r="AO118" s="51">
        <v>45936</v>
      </c>
      <c r="AP118" s="51">
        <v>9533</v>
      </c>
      <c r="AQ118" s="51">
        <v>811</v>
      </c>
      <c r="AR118" s="51">
        <v>123</v>
      </c>
      <c r="AS118" s="51">
        <v>76</v>
      </c>
      <c r="AT118" s="51">
        <v>11</v>
      </c>
      <c r="AU118" s="51">
        <v>37509</v>
      </c>
      <c r="AV118" s="51">
        <v>40447</v>
      </c>
      <c r="AW118" s="51">
        <v>25412</v>
      </c>
      <c r="AX118" s="51">
        <v>52544</v>
      </c>
      <c r="AY118" s="14">
        <v>15640</v>
      </c>
      <c r="AZ118" s="14">
        <v>119652</v>
      </c>
      <c r="BA118" s="14">
        <v>64</v>
      </c>
      <c r="BB118" s="14">
        <v>249</v>
      </c>
      <c r="BC118" s="14">
        <v>119339</v>
      </c>
      <c r="BD118" s="14">
        <v>35036</v>
      </c>
      <c r="BE118" s="11">
        <f>Table14[[#This Row],[Melayu_Voters_GE15]]/Table14[[#This Row],[All_Voters_GE15]]</f>
        <v>0.29281583258115201</v>
      </c>
      <c r="BF118" s="14">
        <v>67922</v>
      </c>
      <c r="BG118" s="11">
        <f>Table14[[#This Row],[Chinese_Voters_GE15]]/Table14[[#This Row],[All_Voters_GE15]]</f>
        <v>0.56766288904489681</v>
      </c>
      <c r="BH118" s="14">
        <v>14938</v>
      </c>
      <c r="BI118" s="11">
        <f>Table14[[#This Row],[India_Voters_GE15]]/Table14[[#This Row],[All_Voters_GE15]]</f>
        <v>0.12484538494968743</v>
      </c>
      <c r="BJ118" s="14">
        <v>28</v>
      </c>
      <c r="BK118" s="14">
        <v>397</v>
      </c>
      <c r="BL118" s="14">
        <v>288</v>
      </c>
      <c r="BM118" s="14">
        <v>1043</v>
      </c>
      <c r="BN118" s="14">
        <f>Table14[[#This Row],[Lain_Voters_GE15]]+Table14[[#This Row],[Swak_Voters_GE15]]+Table14[[#This Row],[Sabah_Voters_GE15]]+Table14[[#This Row],[OA_Voters_GE15]]</f>
        <v>1756</v>
      </c>
      <c r="BO118" s="11">
        <f>Table14[[#This Row],[Base_Stock_GE15]]/Table14[[#This Row],[All_Voters_GE15]]</f>
        <v>5.1148330157456623E-2</v>
      </c>
      <c r="BP118" s="14">
        <v>3165</v>
      </c>
      <c r="BQ118" s="10">
        <v>44446</v>
      </c>
      <c r="BR118" s="44">
        <v>17546</v>
      </c>
      <c r="BS118" s="10">
        <v>5790</v>
      </c>
      <c r="BT118" s="10">
        <v>48986</v>
      </c>
      <c r="BU118" s="10">
        <v>38733</v>
      </c>
      <c r="BV118" s="10">
        <v>26143</v>
      </c>
      <c r="BW118" s="10">
        <f t="shared" si="30"/>
        <v>54776</v>
      </c>
      <c r="BX118" s="10">
        <f t="shared" si="31"/>
        <v>64876</v>
      </c>
      <c r="BY118" s="14">
        <v>122650</v>
      </c>
      <c r="BZ118" s="14">
        <v>0</v>
      </c>
      <c r="CA118" s="14">
        <v>211</v>
      </c>
      <c r="CB118" s="14">
        <v>122439</v>
      </c>
      <c r="CC118" s="14">
        <v>36513</v>
      </c>
      <c r="CD118" s="14">
        <v>69422</v>
      </c>
      <c r="CE118" s="14">
        <v>14729</v>
      </c>
      <c r="CF118" s="14">
        <v>30</v>
      </c>
      <c r="CG118" s="14">
        <v>427</v>
      </c>
      <c r="CH118" s="14">
        <v>324</v>
      </c>
      <c r="CI118" s="14">
        <v>1205</v>
      </c>
      <c r="CJ118" s="14">
        <f t="shared" si="32"/>
        <v>1986</v>
      </c>
      <c r="CK118" s="14">
        <v>59641</v>
      </c>
      <c r="CL118" s="14">
        <v>63009</v>
      </c>
      <c r="CM118" s="14">
        <v>52235</v>
      </c>
      <c r="CN118" s="11">
        <f t="shared" si="33"/>
        <v>0.42588666938442721</v>
      </c>
      <c r="CO118" s="14">
        <v>70415</v>
      </c>
      <c r="CP118" s="11">
        <f t="shared" si="34"/>
        <v>0.57411333061557279</v>
      </c>
      <c r="CQ118" s="29">
        <v>5769</v>
      </c>
      <c r="CR118" s="29">
        <v>48652</v>
      </c>
      <c r="CS118" s="29">
        <v>38030</v>
      </c>
      <c r="CT118" s="29">
        <v>25339</v>
      </c>
      <c r="CU118" s="45">
        <v>6453</v>
      </c>
      <c r="CV118" s="45">
        <v>2341</v>
      </c>
      <c r="CW118" s="45">
        <v>2655</v>
      </c>
      <c r="CX118" s="45">
        <v>1133</v>
      </c>
      <c r="CY118" s="45">
        <v>324</v>
      </c>
      <c r="CZ118" s="45">
        <v>51</v>
      </c>
      <c r="DA118" s="45">
        <v>44</v>
      </c>
      <c r="DB118" s="45">
        <v>44</v>
      </c>
      <c r="DC118" s="45">
        <v>39</v>
      </c>
    </row>
    <row r="119" spans="1:107" x14ac:dyDescent="0.35">
      <c r="A119" s="1" t="s">
        <v>793</v>
      </c>
      <c r="B119" s="5" t="s">
        <v>0</v>
      </c>
      <c r="C119" s="3" t="s">
        <v>823</v>
      </c>
      <c r="D119" s="4" t="s">
        <v>824</v>
      </c>
      <c r="E119" s="5"/>
      <c r="F119" s="5">
        <v>17</v>
      </c>
      <c r="G119" s="2">
        <v>0.79083684062118154</v>
      </c>
      <c r="H119" s="2" t="s">
        <v>1276</v>
      </c>
      <c r="I119" s="17" t="s">
        <v>121</v>
      </c>
      <c r="J11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NIK NAZMI NIK AHMAD </v>
      </c>
      <c r="K119" s="8">
        <v>16333</v>
      </c>
      <c r="L119" s="8" t="s">
        <v>8</v>
      </c>
      <c r="M119" s="7" t="s">
        <v>826</v>
      </c>
      <c r="N119" s="8">
        <v>34434</v>
      </c>
      <c r="O119" s="8" t="s">
        <v>23</v>
      </c>
      <c r="P119" s="7" t="s">
        <v>825</v>
      </c>
      <c r="Q119" s="8">
        <v>22270</v>
      </c>
      <c r="R119" s="8" t="s">
        <v>25</v>
      </c>
      <c r="S119" s="7" t="s">
        <v>827</v>
      </c>
      <c r="T119" s="10">
        <v>12164</v>
      </c>
      <c r="U119" s="10">
        <v>0</v>
      </c>
      <c r="V119" s="10">
        <v>1</v>
      </c>
      <c r="W119" s="10">
        <v>0</v>
      </c>
      <c r="X119" s="10">
        <v>31398</v>
      </c>
      <c r="Y119" s="12" t="s">
        <v>26</v>
      </c>
      <c r="Z119" s="12" t="s">
        <v>1277</v>
      </c>
      <c r="AA119" s="13" t="s">
        <v>828</v>
      </c>
      <c r="AB119" s="14">
        <v>14372</v>
      </c>
      <c r="AC119" s="15" t="s">
        <v>829</v>
      </c>
      <c r="AD119" s="16">
        <v>34026</v>
      </c>
      <c r="AE119" s="14">
        <v>20099</v>
      </c>
      <c r="AF119" s="14">
        <v>6282</v>
      </c>
      <c r="AG119" s="14">
        <v>34471</v>
      </c>
      <c r="AH119" s="14" t="s">
        <v>17</v>
      </c>
      <c r="AI119" s="15" t="s">
        <v>29</v>
      </c>
      <c r="AJ119" s="14">
        <v>0</v>
      </c>
      <c r="AK119" s="14">
        <v>1</v>
      </c>
      <c r="AL119" s="14">
        <v>0</v>
      </c>
      <c r="AM119" s="51">
        <v>72136</v>
      </c>
      <c r="AN119" s="51">
        <v>44052</v>
      </c>
      <c r="AO119" s="51">
        <v>18659</v>
      </c>
      <c r="AP119" s="51">
        <v>7581</v>
      </c>
      <c r="AQ119" s="51">
        <v>461</v>
      </c>
      <c r="AR119" s="51">
        <v>616</v>
      </c>
      <c r="AS119" s="51">
        <v>738</v>
      </c>
      <c r="AT119" s="51">
        <v>29</v>
      </c>
      <c r="AU119" s="51">
        <v>37852</v>
      </c>
      <c r="AV119" s="51">
        <v>34284</v>
      </c>
      <c r="AW119" s="51">
        <v>31949</v>
      </c>
      <c r="AX119" s="51">
        <v>40187</v>
      </c>
      <c r="AY119" s="14">
        <v>24132.333333333332</v>
      </c>
      <c r="AZ119" s="14">
        <v>95753</v>
      </c>
      <c r="BA119" s="14">
        <v>39</v>
      </c>
      <c r="BB119" s="14">
        <v>12115</v>
      </c>
      <c r="BC119" s="14">
        <v>83599</v>
      </c>
      <c r="BD119" s="14">
        <v>58923</v>
      </c>
      <c r="BE119" s="11">
        <f>Table14[[#This Row],[Melayu_Voters_GE15]]/Table14[[#This Row],[All_Voters_GE15]]</f>
        <v>0.61536453165958249</v>
      </c>
      <c r="BF119" s="14">
        <v>23438</v>
      </c>
      <c r="BG119" s="11">
        <f>Table14[[#This Row],[Chinese_Voters_GE15]]/Table14[[#This Row],[All_Voters_GE15]]</f>
        <v>0.24477562060718724</v>
      </c>
      <c r="BH119" s="14">
        <v>11377</v>
      </c>
      <c r="BI119" s="11">
        <f>Table14[[#This Row],[India_Voters_GE15]]/Table14[[#This Row],[All_Voters_GE15]]</f>
        <v>0.11881612064373963</v>
      </c>
      <c r="BJ119" s="14">
        <v>42</v>
      </c>
      <c r="BK119" s="14">
        <v>786</v>
      </c>
      <c r="BL119" s="14">
        <v>837</v>
      </c>
      <c r="BM119" s="14">
        <v>350</v>
      </c>
      <c r="BN119" s="14">
        <f>Table14[[#This Row],[Lain_Voters_GE15]]+Table14[[#This Row],[Swak_Voters_GE15]]+Table14[[#This Row],[Sabah_Voters_GE15]]+Table14[[#This Row],[OA_Voters_GE15]]</f>
        <v>2015</v>
      </c>
      <c r="BO119" s="11">
        <f>Table14[[#This Row],[Base_Stock_GE15]]/Table14[[#This Row],[All_Voters_GE15]]</f>
        <v>0.32790617526343824</v>
      </c>
      <c r="BP119" s="14">
        <v>21259</v>
      </c>
      <c r="BQ119" s="10">
        <v>32293</v>
      </c>
      <c r="BR119" s="44">
        <v>14377</v>
      </c>
      <c r="BS119" s="10">
        <v>4561</v>
      </c>
      <c r="BT119" s="10">
        <v>46468</v>
      </c>
      <c r="BU119" s="10">
        <v>29730</v>
      </c>
      <c r="BV119" s="10">
        <v>14994</v>
      </c>
      <c r="BW119" s="10">
        <f t="shared" si="30"/>
        <v>51029</v>
      </c>
      <c r="BX119" s="10">
        <f t="shared" si="31"/>
        <v>44724</v>
      </c>
      <c r="BY119" s="14">
        <v>97554</v>
      </c>
      <c r="BZ119" s="14">
        <v>0</v>
      </c>
      <c r="CA119" s="14">
        <v>11330</v>
      </c>
      <c r="CB119" s="14">
        <v>86224</v>
      </c>
      <c r="CC119" s="14">
        <v>61280</v>
      </c>
      <c r="CD119" s="14">
        <v>22767</v>
      </c>
      <c r="CE119" s="14">
        <v>11309</v>
      </c>
      <c r="CF119" s="14">
        <v>48</v>
      </c>
      <c r="CG119" s="14">
        <v>856</v>
      </c>
      <c r="CH119" s="14">
        <v>921</v>
      </c>
      <c r="CI119" s="14">
        <v>373</v>
      </c>
      <c r="CJ119" s="14">
        <f t="shared" si="32"/>
        <v>2198</v>
      </c>
      <c r="CK119" s="14">
        <v>49847</v>
      </c>
      <c r="CL119" s="14">
        <v>47707</v>
      </c>
      <c r="CM119" s="14">
        <v>48108</v>
      </c>
      <c r="CN119" s="11">
        <f t="shared" si="33"/>
        <v>0.4931422596715665</v>
      </c>
      <c r="CO119" s="14">
        <v>49446</v>
      </c>
      <c r="CP119" s="11">
        <f t="shared" si="34"/>
        <v>0.50685774032843345</v>
      </c>
      <c r="CQ119" s="29">
        <v>4504</v>
      </c>
      <c r="CR119" s="29">
        <v>45184</v>
      </c>
      <c r="CS119" s="29">
        <v>28691</v>
      </c>
      <c r="CT119" s="29">
        <v>14435</v>
      </c>
      <c r="CU119" s="45">
        <v>8537</v>
      </c>
      <c r="CV119" s="45">
        <v>2434</v>
      </c>
      <c r="CW119" s="45">
        <v>3549</v>
      </c>
      <c r="CX119" s="45">
        <v>1794</v>
      </c>
      <c r="CY119" s="45">
        <v>760</v>
      </c>
      <c r="CZ119" s="45">
        <v>58</v>
      </c>
      <c r="DA119" s="45">
        <v>58</v>
      </c>
      <c r="DB119" s="45">
        <v>58</v>
      </c>
      <c r="DC119" s="45">
        <v>57</v>
      </c>
    </row>
    <row r="120" spans="1:107" x14ac:dyDescent="0.35">
      <c r="A120" s="1" t="s">
        <v>793</v>
      </c>
      <c r="B120" s="5" t="s">
        <v>0</v>
      </c>
      <c r="C120" s="3" t="s">
        <v>830</v>
      </c>
      <c r="D120" s="4" t="s">
        <v>831</v>
      </c>
      <c r="E120" s="5"/>
      <c r="F120" s="5">
        <v>20</v>
      </c>
      <c r="G120" s="2">
        <v>0.7610189852254573</v>
      </c>
      <c r="H120" s="2" t="s">
        <v>1276</v>
      </c>
      <c r="I120" s="21" t="s">
        <v>403</v>
      </c>
      <c r="J12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SERI JOHARI GHANI </v>
      </c>
      <c r="K120" s="8">
        <v>25042</v>
      </c>
      <c r="L120" s="8" t="s">
        <v>8</v>
      </c>
      <c r="M120" s="7" t="s">
        <v>832</v>
      </c>
      <c r="N120" s="8">
        <v>20410</v>
      </c>
      <c r="O120" s="8" t="s">
        <v>214</v>
      </c>
      <c r="P120" s="7" t="s">
        <v>833</v>
      </c>
      <c r="Q120" s="8">
        <v>14518</v>
      </c>
      <c r="R120" s="8" t="s">
        <v>12</v>
      </c>
      <c r="S120" s="7" t="s">
        <v>834</v>
      </c>
      <c r="T120" s="10">
        <v>4632</v>
      </c>
      <c r="U120" s="10">
        <v>1</v>
      </c>
      <c r="V120" s="10">
        <v>0</v>
      </c>
      <c r="W120" s="10">
        <v>0</v>
      </c>
      <c r="X120" s="10">
        <v>30481</v>
      </c>
      <c r="Y120" s="12" t="s">
        <v>43</v>
      </c>
      <c r="Z120" s="12" t="s">
        <v>1277</v>
      </c>
      <c r="AA120" s="13" t="s">
        <v>835</v>
      </c>
      <c r="AB120" s="14">
        <v>4139</v>
      </c>
      <c r="AC120" s="15" t="s">
        <v>45</v>
      </c>
      <c r="AD120" s="16">
        <v>34852</v>
      </c>
      <c r="AE120" s="14">
        <v>19701</v>
      </c>
      <c r="AF120" s="14">
        <v>6845</v>
      </c>
      <c r="AG120" s="14">
        <v>23840</v>
      </c>
      <c r="AH120" s="14" t="s">
        <v>17</v>
      </c>
      <c r="AI120" s="15" t="s">
        <v>18</v>
      </c>
      <c r="AJ120" s="14">
        <v>0</v>
      </c>
      <c r="AK120" s="14">
        <v>1</v>
      </c>
      <c r="AL120" s="14">
        <v>0</v>
      </c>
      <c r="AM120" s="51">
        <v>61598</v>
      </c>
      <c r="AN120" s="51">
        <v>43412</v>
      </c>
      <c r="AO120" s="51">
        <v>10659</v>
      </c>
      <c r="AP120" s="51">
        <v>5931</v>
      </c>
      <c r="AQ120" s="51">
        <v>1036</v>
      </c>
      <c r="AR120" s="51">
        <v>348</v>
      </c>
      <c r="AS120" s="51">
        <v>206</v>
      </c>
      <c r="AT120" s="51">
        <v>6</v>
      </c>
      <c r="AU120" s="51">
        <v>30383</v>
      </c>
      <c r="AV120" s="51">
        <v>31215</v>
      </c>
      <c r="AW120" s="51">
        <v>19811</v>
      </c>
      <c r="AX120" s="51">
        <v>41787</v>
      </c>
      <c r="AY120" s="14">
        <v>19540</v>
      </c>
      <c r="AZ120" s="14">
        <v>80747</v>
      </c>
      <c r="BA120" s="14">
        <v>18</v>
      </c>
      <c r="BB120" s="14">
        <v>2105</v>
      </c>
      <c r="BC120" s="14">
        <v>78624</v>
      </c>
      <c r="BD120" s="14">
        <v>58509</v>
      </c>
      <c r="BE120" s="11">
        <f>Table14[[#This Row],[Melayu_Voters_GE15]]/Table14[[#This Row],[All_Voters_GE15]]</f>
        <v>0.72459657943948386</v>
      </c>
      <c r="BF120" s="14">
        <v>13250</v>
      </c>
      <c r="BG120" s="11">
        <f>Table14[[#This Row],[Chinese_Voters_GE15]]/Table14[[#This Row],[All_Voters_GE15]]</f>
        <v>0.16409278363282848</v>
      </c>
      <c r="BH120" s="14">
        <v>7687</v>
      </c>
      <c r="BI120" s="11">
        <f>Table14[[#This Row],[India_Voters_GE15]]/Table14[[#This Row],[All_Voters_GE15]]</f>
        <v>9.5198583229098299E-2</v>
      </c>
      <c r="BJ120" s="14">
        <v>26</v>
      </c>
      <c r="BK120" s="14">
        <v>563</v>
      </c>
      <c r="BL120" s="14">
        <v>323</v>
      </c>
      <c r="BM120" s="14">
        <v>389</v>
      </c>
      <c r="BN120" s="14">
        <f>Table14[[#This Row],[Lain_Voters_GE15]]+Table14[[#This Row],[Swak_Voters_GE15]]+Table14[[#This Row],[Sabah_Voters_GE15]]+Table14[[#This Row],[OA_Voters_GE15]]</f>
        <v>1301</v>
      </c>
      <c r="BO120" s="11">
        <f>Table14[[#This Row],[Base_Stock_GE15]]/Table14[[#This Row],[All_Voters_GE15]]</f>
        <v>0.37748770852167884</v>
      </c>
      <c r="BP120" s="14">
        <v>20646</v>
      </c>
      <c r="BQ120" s="10">
        <v>24032</v>
      </c>
      <c r="BR120" s="44">
        <v>10681</v>
      </c>
      <c r="BS120" s="10">
        <v>3515</v>
      </c>
      <c r="BT120" s="10">
        <v>32248</v>
      </c>
      <c r="BU120" s="10">
        <v>27535</v>
      </c>
      <c r="BV120" s="10">
        <v>17449</v>
      </c>
      <c r="BW120" s="10">
        <f t="shared" si="30"/>
        <v>35763</v>
      </c>
      <c r="BX120" s="10">
        <f t="shared" si="31"/>
        <v>44984</v>
      </c>
      <c r="BY120" s="14">
        <v>80686</v>
      </c>
      <c r="BZ120" s="14">
        <v>0</v>
      </c>
      <c r="CA120" s="14">
        <v>2123</v>
      </c>
      <c r="CB120" s="14">
        <v>78563</v>
      </c>
      <c r="CC120" s="14">
        <v>59684</v>
      </c>
      <c r="CD120" s="14">
        <v>12363</v>
      </c>
      <c r="CE120" s="14">
        <v>7243</v>
      </c>
      <c r="CF120" s="14">
        <v>28</v>
      </c>
      <c r="CG120" s="14">
        <v>577</v>
      </c>
      <c r="CH120" s="14">
        <v>356</v>
      </c>
      <c r="CI120" s="14">
        <v>435</v>
      </c>
      <c r="CJ120" s="14">
        <f t="shared" si="32"/>
        <v>1396</v>
      </c>
      <c r="CK120" s="14">
        <v>40245</v>
      </c>
      <c r="CL120" s="14">
        <v>40441</v>
      </c>
      <c r="CM120" s="14">
        <v>34129</v>
      </c>
      <c r="CN120" s="11">
        <f t="shared" si="33"/>
        <v>0.42298540019334208</v>
      </c>
      <c r="CO120" s="14">
        <v>46557</v>
      </c>
      <c r="CP120" s="11">
        <f t="shared" si="34"/>
        <v>0.57701459980665792</v>
      </c>
      <c r="CQ120" s="29">
        <v>3482</v>
      </c>
      <c r="CR120" s="29">
        <v>31828</v>
      </c>
      <c r="CS120" s="29">
        <v>26752</v>
      </c>
      <c r="CT120" s="29">
        <v>16722</v>
      </c>
      <c r="CU120" s="45">
        <v>12584</v>
      </c>
      <c r="CV120" s="45">
        <v>3995</v>
      </c>
      <c r="CW120" s="45">
        <v>5065</v>
      </c>
      <c r="CX120" s="45">
        <v>2402</v>
      </c>
      <c r="CY120" s="45">
        <v>1122</v>
      </c>
      <c r="CZ120" s="45">
        <v>83</v>
      </c>
      <c r="DA120" s="45">
        <v>83</v>
      </c>
      <c r="DB120" s="45">
        <v>83</v>
      </c>
      <c r="DC120" s="45">
        <v>82</v>
      </c>
    </row>
    <row r="121" spans="1:107" x14ac:dyDescent="0.35">
      <c r="A121" s="1" t="s">
        <v>793</v>
      </c>
      <c r="B121" s="5" t="s">
        <v>0</v>
      </c>
      <c r="C121" s="3" t="s">
        <v>836</v>
      </c>
      <c r="D121" s="4" t="s">
        <v>837</v>
      </c>
      <c r="E121" s="5"/>
      <c r="F121" s="5">
        <v>28</v>
      </c>
      <c r="G121" s="2">
        <v>0.66740618184552902</v>
      </c>
      <c r="H121" s="2" t="s">
        <v>1276</v>
      </c>
      <c r="I121" s="17" t="s">
        <v>121</v>
      </c>
      <c r="J12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FONG KUI LUN </v>
      </c>
      <c r="K121" s="8">
        <v>4850</v>
      </c>
      <c r="L121" s="8" t="s">
        <v>77</v>
      </c>
      <c r="M121" s="7" t="s">
        <v>839</v>
      </c>
      <c r="N121" s="8">
        <v>43827</v>
      </c>
      <c r="O121" s="8" t="s">
        <v>102</v>
      </c>
      <c r="P121" s="7" t="s">
        <v>838</v>
      </c>
      <c r="Q121" s="8">
        <v>4259</v>
      </c>
      <c r="R121" s="8" t="s">
        <v>770</v>
      </c>
      <c r="S121" s="7" t="s">
        <v>840</v>
      </c>
      <c r="T121" s="10">
        <v>38977</v>
      </c>
      <c r="U121" s="10">
        <v>0</v>
      </c>
      <c r="V121" s="10">
        <v>1</v>
      </c>
      <c r="W121" s="10">
        <v>0</v>
      </c>
      <c r="X121" s="10">
        <v>3492</v>
      </c>
      <c r="Y121" s="12" t="s">
        <v>319</v>
      </c>
      <c r="Z121" s="12" t="s">
        <v>1277</v>
      </c>
      <c r="AA121" s="13" t="s">
        <v>841</v>
      </c>
      <c r="AB121" s="14">
        <v>37260</v>
      </c>
      <c r="AC121" s="15" t="s">
        <v>842</v>
      </c>
      <c r="AD121" s="16">
        <v>7954</v>
      </c>
      <c r="AE121" s="14">
        <v>7256</v>
      </c>
      <c r="AF121" s="14"/>
      <c r="AG121" s="14">
        <v>44516</v>
      </c>
      <c r="AH121" s="14" t="s">
        <v>82</v>
      </c>
      <c r="AI121" s="15" t="s">
        <v>321</v>
      </c>
      <c r="AJ121" s="14">
        <v>0</v>
      </c>
      <c r="AK121" s="14">
        <v>1</v>
      </c>
      <c r="AL121" s="14">
        <v>0</v>
      </c>
      <c r="AM121" s="51">
        <v>69526</v>
      </c>
      <c r="AN121" s="51">
        <v>8683</v>
      </c>
      <c r="AO121" s="51">
        <v>52225</v>
      </c>
      <c r="AP121" s="51">
        <v>7802</v>
      </c>
      <c r="AQ121" s="51">
        <v>318</v>
      </c>
      <c r="AR121" s="51">
        <v>303</v>
      </c>
      <c r="AS121" s="51">
        <v>184</v>
      </c>
      <c r="AT121" s="51">
        <v>11</v>
      </c>
      <c r="AU121" s="51">
        <v>36272</v>
      </c>
      <c r="AV121" s="51">
        <v>33254</v>
      </c>
      <c r="AW121" s="51">
        <v>12001</v>
      </c>
      <c r="AX121" s="51">
        <v>57525</v>
      </c>
      <c r="AY121" s="14">
        <v>10266.333333333334</v>
      </c>
      <c r="AZ121" s="14">
        <v>79782</v>
      </c>
      <c r="BA121" s="14">
        <v>9</v>
      </c>
      <c r="BB121" s="14">
        <v>2594</v>
      </c>
      <c r="BC121" s="14">
        <v>77179</v>
      </c>
      <c r="BD121" s="14">
        <v>10973</v>
      </c>
      <c r="BE121" s="11">
        <f>Table14[[#This Row],[Melayu_Voters_GE15]]/Table14[[#This Row],[All_Voters_GE15]]</f>
        <v>0.13753728911283247</v>
      </c>
      <c r="BF121" s="14">
        <v>57086</v>
      </c>
      <c r="BG121" s="11">
        <f>Table14[[#This Row],[Chinese_Voters_GE15]]/Table14[[#This Row],[All_Voters_GE15]]</f>
        <v>0.71552480509388083</v>
      </c>
      <c r="BH121" s="14">
        <v>10306</v>
      </c>
      <c r="BI121" s="11">
        <f>Table14[[#This Row],[India_Voters_GE15]]/Table14[[#This Row],[All_Voters_GE15]]</f>
        <v>0.12917700734501517</v>
      </c>
      <c r="BJ121" s="14">
        <v>16</v>
      </c>
      <c r="BK121" s="14">
        <v>742</v>
      </c>
      <c r="BL121" s="14">
        <v>287</v>
      </c>
      <c r="BM121" s="14">
        <v>372</v>
      </c>
      <c r="BN121" s="14">
        <f>Table14[[#This Row],[Lain_Voters_GE15]]+Table14[[#This Row],[Swak_Voters_GE15]]+Table14[[#This Row],[Sabah_Voters_GE15]]+Table14[[#This Row],[OA_Voters_GE15]]</f>
        <v>1417</v>
      </c>
      <c r="BO121" s="11">
        <f>Table14[[#This Row],[Base_Stock_GE15]]/Table14[[#This Row],[All_Voters_GE15]]</f>
        <v>4.3769271264194928E-2</v>
      </c>
      <c r="BP121" s="14">
        <v>16</v>
      </c>
      <c r="BQ121" s="10">
        <v>18402</v>
      </c>
      <c r="BR121" s="44">
        <v>5860</v>
      </c>
      <c r="BS121" s="10">
        <v>1875</v>
      </c>
      <c r="BT121" s="10">
        <v>19136</v>
      </c>
      <c r="BU121" s="10">
        <v>28463</v>
      </c>
      <c r="BV121" s="10">
        <v>30308</v>
      </c>
      <c r="BW121" s="10">
        <f t="shared" si="30"/>
        <v>21011</v>
      </c>
      <c r="BX121" s="10">
        <f t="shared" si="31"/>
        <v>58771</v>
      </c>
      <c r="BY121" s="14">
        <v>74005</v>
      </c>
      <c r="BZ121" s="14">
        <v>0</v>
      </c>
      <c r="CA121" s="14">
        <v>2736</v>
      </c>
      <c r="CB121" s="14">
        <v>71269</v>
      </c>
      <c r="CC121" s="14">
        <v>11219</v>
      </c>
      <c r="CD121" s="14">
        <v>51568</v>
      </c>
      <c r="CE121" s="14">
        <v>9697</v>
      </c>
      <c r="CF121" s="14">
        <v>19</v>
      </c>
      <c r="CG121" s="14">
        <v>803</v>
      </c>
      <c r="CH121" s="14">
        <v>303</v>
      </c>
      <c r="CI121" s="14">
        <v>396</v>
      </c>
      <c r="CJ121" s="14">
        <f t="shared" si="32"/>
        <v>1521</v>
      </c>
      <c r="CK121" s="14">
        <v>38786</v>
      </c>
      <c r="CL121" s="14">
        <v>35219</v>
      </c>
      <c r="CM121" s="14">
        <v>18820</v>
      </c>
      <c r="CN121" s="11">
        <f t="shared" si="33"/>
        <v>0.25430714140936422</v>
      </c>
      <c r="CO121" s="14">
        <v>55185</v>
      </c>
      <c r="CP121" s="11">
        <f t="shared" si="34"/>
        <v>0.74569285859063572</v>
      </c>
      <c r="CQ121" s="29">
        <v>1859</v>
      </c>
      <c r="CR121" s="29">
        <v>18892</v>
      </c>
      <c r="CS121" s="29">
        <v>27346</v>
      </c>
      <c r="CT121" s="29">
        <v>28695</v>
      </c>
      <c r="CU121" s="45">
        <v>6128</v>
      </c>
      <c r="CV121" s="45">
        <v>1820</v>
      </c>
      <c r="CW121" s="45">
        <v>2177</v>
      </c>
      <c r="CX121" s="45">
        <v>1553</v>
      </c>
      <c r="CY121" s="45">
        <v>578</v>
      </c>
      <c r="CZ121" s="45">
        <v>40</v>
      </c>
      <c r="DA121" s="45">
        <v>39</v>
      </c>
      <c r="DB121" s="45">
        <v>39</v>
      </c>
      <c r="DC121" s="45">
        <v>39</v>
      </c>
    </row>
    <row r="122" spans="1:107" x14ac:dyDescent="0.35">
      <c r="A122" s="1" t="s">
        <v>793</v>
      </c>
      <c r="B122" s="5" t="s">
        <v>0</v>
      </c>
      <c r="C122" s="3" t="s">
        <v>843</v>
      </c>
      <c r="D122" s="4" t="s">
        <v>844</v>
      </c>
      <c r="E122" s="5"/>
      <c r="F122" s="5">
        <v>18</v>
      </c>
      <c r="G122" s="2">
        <v>0.76078288879286637</v>
      </c>
      <c r="H122" s="2" t="s">
        <v>1276</v>
      </c>
      <c r="I122" s="17" t="s">
        <v>121</v>
      </c>
      <c r="J12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AHMAD FAHMI B MOHAMED FADZIL </v>
      </c>
      <c r="K122" s="8">
        <v>21447</v>
      </c>
      <c r="L122" s="8" t="s">
        <v>8</v>
      </c>
      <c r="M122" s="7" t="s">
        <v>846</v>
      </c>
      <c r="N122" s="8">
        <v>35359</v>
      </c>
      <c r="O122" s="8" t="s">
        <v>23</v>
      </c>
      <c r="P122" s="7" t="s">
        <v>845</v>
      </c>
      <c r="Q122" s="8">
        <v>19098</v>
      </c>
      <c r="R122" s="8" t="s">
        <v>12</v>
      </c>
      <c r="S122" s="7" t="s">
        <v>847</v>
      </c>
      <c r="T122" s="10">
        <v>13912</v>
      </c>
      <c r="U122" s="10">
        <v>0</v>
      </c>
      <c r="V122" s="10">
        <v>1</v>
      </c>
      <c r="W122" s="10">
        <v>0</v>
      </c>
      <c r="X122" s="10">
        <v>31133</v>
      </c>
      <c r="Y122" s="12" t="s">
        <v>26</v>
      </c>
      <c r="Z122" s="12" t="s">
        <v>1277</v>
      </c>
      <c r="AA122" s="13" t="s">
        <v>848</v>
      </c>
      <c r="AB122" s="14">
        <v>5598</v>
      </c>
      <c r="AC122" s="15" t="s">
        <v>229</v>
      </c>
      <c r="AD122" s="16">
        <v>33464</v>
      </c>
      <c r="AE122" s="14">
        <v>27715</v>
      </c>
      <c r="AF122" s="14">
        <v>5277</v>
      </c>
      <c r="AG122" s="14">
        <v>33313</v>
      </c>
      <c r="AH122" s="14" t="s">
        <v>17</v>
      </c>
      <c r="AI122" s="15" t="s">
        <v>29</v>
      </c>
      <c r="AJ122" s="14">
        <v>0</v>
      </c>
      <c r="AK122" s="14">
        <v>1</v>
      </c>
      <c r="AL122" s="14">
        <v>0</v>
      </c>
      <c r="AM122" s="51">
        <v>80346</v>
      </c>
      <c r="AN122" s="51">
        <v>49863</v>
      </c>
      <c r="AO122" s="51">
        <v>15196</v>
      </c>
      <c r="AP122" s="51">
        <v>13480</v>
      </c>
      <c r="AQ122" s="51">
        <v>808</v>
      </c>
      <c r="AR122" s="51">
        <v>621</v>
      </c>
      <c r="AS122" s="51">
        <v>359</v>
      </c>
      <c r="AT122" s="51">
        <v>19</v>
      </c>
      <c r="AU122" s="51">
        <v>42307</v>
      </c>
      <c r="AV122" s="51">
        <v>38039</v>
      </c>
      <c r="AW122" s="51">
        <v>28801</v>
      </c>
      <c r="AX122" s="51">
        <v>51545</v>
      </c>
      <c r="AY122" s="14">
        <v>25236.333333333332</v>
      </c>
      <c r="AZ122" s="14">
        <v>101828</v>
      </c>
      <c r="BA122" s="14">
        <v>24</v>
      </c>
      <c r="BB122" s="14">
        <v>9768</v>
      </c>
      <c r="BC122" s="14">
        <v>92036</v>
      </c>
      <c r="BD122" s="14">
        <v>61965</v>
      </c>
      <c r="BE122" s="11">
        <f>Table14[[#This Row],[Melayu_Voters_GE15]]/Table14[[#This Row],[All_Voters_GE15]]</f>
        <v>0.60852614212200962</v>
      </c>
      <c r="BF122" s="14">
        <v>19453</v>
      </c>
      <c r="BG122" s="11">
        <f>Table14[[#This Row],[Chinese_Voters_GE15]]/Table14[[#This Row],[All_Voters_GE15]]</f>
        <v>0.19103782849510939</v>
      </c>
      <c r="BH122" s="14">
        <v>18186</v>
      </c>
      <c r="BI122" s="11">
        <f>Table14[[#This Row],[India_Voters_GE15]]/Table14[[#This Row],[All_Voters_GE15]]</f>
        <v>0.17859527831244845</v>
      </c>
      <c r="BJ122" s="14">
        <v>39</v>
      </c>
      <c r="BK122" s="14">
        <v>997</v>
      </c>
      <c r="BL122" s="14">
        <v>556</v>
      </c>
      <c r="BM122" s="14">
        <v>632</v>
      </c>
      <c r="BN122" s="14">
        <f>Table14[[#This Row],[Lain_Voters_GE15]]+Table14[[#This Row],[Swak_Voters_GE15]]+Table14[[#This Row],[Sabah_Voters_GE15]]+Table14[[#This Row],[OA_Voters_GE15]]</f>
        <v>2224</v>
      </c>
      <c r="BO122" s="11">
        <f>Table14[[#This Row],[Base_Stock_GE15]]/Table14[[#This Row],[All_Voters_GE15]]</f>
        <v>0.30574105354126568</v>
      </c>
      <c r="BP122" s="14">
        <v>21040</v>
      </c>
      <c r="BQ122" s="10">
        <v>27829</v>
      </c>
      <c r="BR122" s="44">
        <v>11723</v>
      </c>
      <c r="BS122" s="10">
        <v>3694</v>
      </c>
      <c r="BT122" s="10">
        <v>41030</v>
      </c>
      <c r="BU122" s="10">
        <v>35741</v>
      </c>
      <c r="BV122" s="10">
        <v>21363</v>
      </c>
      <c r="BW122" s="10">
        <f t="shared" si="30"/>
        <v>44724</v>
      </c>
      <c r="BX122" s="10">
        <f t="shared" si="31"/>
        <v>57104</v>
      </c>
      <c r="BY122" s="14">
        <v>99427</v>
      </c>
      <c r="BZ122" s="14">
        <v>0</v>
      </c>
      <c r="CA122" s="14">
        <v>8489</v>
      </c>
      <c r="CB122" s="14">
        <v>90938</v>
      </c>
      <c r="CC122" s="14">
        <v>61134</v>
      </c>
      <c r="CD122" s="14">
        <v>18645</v>
      </c>
      <c r="CE122" s="14">
        <v>17380</v>
      </c>
      <c r="CF122" s="14">
        <v>47</v>
      </c>
      <c r="CG122" s="14">
        <v>961</v>
      </c>
      <c r="CH122" s="14">
        <v>578</v>
      </c>
      <c r="CI122" s="14">
        <v>682</v>
      </c>
      <c r="CJ122" s="14">
        <f t="shared" si="32"/>
        <v>2268</v>
      </c>
      <c r="CK122" s="14">
        <v>51470</v>
      </c>
      <c r="CL122" s="14">
        <v>47957</v>
      </c>
      <c r="CM122" s="14">
        <v>39529</v>
      </c>
      <c r="CN122" s="11">
        <f t="shared" si="33"/>
        <v>0.39756806501252173</v>
      </c>
      <c r="CO122" s="14">
        <v>59898</v>
      </c>
      <c r="CP122" s="11">
        <f t="shared" si="34"/>
        <v>0.60243193498747827</v>
      </c>
      <c r="CQ122" s="29">
        <v>3673</v>
      </c>
      <c r="CR122" s="29">
        <v>40284</v>
      </c>
      <c r="CS122" s="29">
        <v>34488</v>
      </c>
      <c r="CT122" s="29">
        <v>20436</v>
      </c>
      <c r="CU122" s="45">
        <v>11560</v>
      </c>
      <c r="CV122" s="45">
        <v>4274</v>
      </c>
      <c r="CW122" s="45">
        <v>4922</v>
      </c>
      <c r="CX122" s="45">
        <v>1606</v>
      </c>
      <c r="CY122" s="45">
        <v>758</v>
      </c>
      <c r="CZ122" s="45">
        <v>57</v>
      </c>
      <c r="DA122" s="45">
        <v>57</v>
      </c>
      <c r="DB122" s="45">
        <v>57</v>
      </c>
      <c r="DC122" s="45">
        <v>53</v>
      </c>
    </row>
    <row r="123" spans="1:107" x14ac:dyDescent="0.35">
      <c r="A123" s="1" t="s">
        <v>793</v>
      </c>
      <c r="B123" s="5" t="s">
        <v>0</v>
      </c>
      <c r="C123" s="3" t="s">
        <v>849</v>
      </c>
      <c r="D123" s="4" t="s">
        <v>850</v>
      </c>
      <c r="E123" s="5"/>
      <c r="F123" s="5">
        <v>22</v>
      </c>
      <c r="G123" s="2">
        <v>0.70595729337766921</v>
      </c>
      <c r="H123" s="2" t="s">
        <v>1276</v>
      </c>
      <c r="I123" s="17" t="s">
        <v>121</v>
      </c>
      <c r="J12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TERESA KOK </v>
      </c>
      <c r="K123" s="8">
        <v>6032</v>
      </c>
      <c r="L123" s="8" t="s">
        <v>77</v>
      </c>
      <c r="M123" s="7" t="s">
        <v>852</v>
      </c>
      <c r="N123" s="8">
        <v>73234</v>
      </c>
      <c r="O123" s="8" t="s">
        <v>102</v>
      </c>
      <c r="P123" s="7" t="s">
        <v>851</v>
      </c>
      <c r="Q123" s="8">
        <v>6047</v>
      </c>
      <c r="R123" s="8" t="s">
        <v>370</v>
      </c>
      <c r="S123" s="7" t="s">
        <v>853</v>
      </c>
      <c r="T123" s="10">
        <v>67187</v>
      </c>
      <c r="U123" s="10">
        <v>0</v>
      </c>
      <c r="V123" s="10">
        <v>1</v>
      </c>
      <c r="W123" s="10">
        <v>0</v>
      </c>
      <c r="X123" s="10">
        <v>1094</v>
      </c>
      <c r="Y123" s="12" t="s">
        <v>319</v>
      </c>
      <c r="Z123" s="12" t="s">
        <v>1277</v>
      </c>
      <c r="AA123" s="13" t="s">
        <v>854</v>
      </c>
      <c r="AB123" s="14">
        <v>56059</v>
      </c>
      <c r="AC123" s="15" t="s">
        <v>415</v>
      </c>
      <c r="AD123" s="16">
        <v>5615</v>
      </c>
      <c r="AE123" s="14">
        <v>7035</v>
      </c>
      <c r="AF123" s="14"/>
      <c r="AG123" s="14">
        <v>63094</v>
      </c>
      <c r="AH123" s="14" t="s">
        <v>82</v>
      </c>
      <c r="AI123" s="15" t="s">
        <v>321</v>
      </c>
      <c r="AJ123" s="14">
        <v>0</v>
      </c>
      <c r="AK123" s="14">
        <v>1</v>
      </c>
      <c r="AL123" s="14">
        <v>0</v>
      </c>
      <c r="AM123" s="51">
        <v>86256</v>
      </c>
      <c r="AN123" s="51">
        <v>7773</v>
      </c>
      <c r="AO123" s="51">
        <v>70752</v>
      </c>
      <c r="AP123" s="51">
        <v>6999</v>
      </c>
      <c r="AQ123" s="51">
        <v>434</v>
      </c>
      <c r="AR123" s="51">
        <v>228</v>
      </c>
      <c r="AS123" s="51">
        <v>67</v>
      </c>
      <c r="AT123" s="51">
        <v>3</v>
      </c>
      <c r="AU123" s="51">
        <v>41229</v>
      </c>
      <c r="AV123" s="51">
        <v>45027</v>
      </c>
      <c r="AW123" s="51">
        <v>23738</v>
      </c>
      <c r="AX123" s="51">
        <v>62518</v>
      </c>
      <c r="AY123" s="14">
        <v>9240.3333333333339</v>
      </c>
      <c r="AZ123" s="14">
        <v>124805</v>
      </c>
      <c r="BA123" s="14">
        <v>30</v>
      </c>
      <c r="BB123" s="14">
        <v>401</v>
      </c>
      <c r="BC123" s="14">
        <v>124374</v>
      </c>
      <c r="BD123" s="14">
        <v>15805</v>
      </c>
      <c r="BE123" s="11">
        <f>Table14[[#This Row],[Melayu_Voters_GE15]]/Table14[[#This Row],[All_Voters_GE15]]</f>
        <v>0.12663755458515283</v>
      </c>
      <c r="BF123" s="14">
        <v>95670</v>
      </c>
      <c r="BG123" s="11">
        <f>Table14[[#This Row],[Chinese_Voters_GE15]]/Table14[[#This Row],[All_Voters_GE15]]</f>
        <v>0.76655582709026082</v>
      </c>
      <c r="BH123" s="14">
        <v>11661</v>
      </c>
      <c r="BI123" s="11">
        <f>Table14[[#This Row],[India_Voters_GE15]]/Table14[[#This Row],[All_Voters_GE15]]</f>
        <v>9.3433756660390208E-2</v>
      </c>
      <c r="BJ123" s="14">
        <v>16</v>
      </c>
      <c r="BK123" s="14">
        <v>660</v>
      </c>
      <c r="BL123" s="14">
        <v>255</v>
      </c>
      <c r="BM123" s="14">
        <v>738</v>
      </c>
      <c r="BN123" s="14">
        <f>Table14[[#This Row],[Lain_Voters_GE15]]+Table14[[#This Row],[Swak_Voters_GE15]]+Table14[[#This Row],[Sabah_Voters_GE15]]+Table14[[#This Row],[OA_Voters_GE15]]</f>
        <v>1669</v>
      </c>
      <c r="BO123" s="11">
        <f>Table14[[#This Row],[Base_Stock_GE15]]/Table14[[#This Row],[All_Voters_GE15]]</f>
        <v>8.7656744521453465E-3</v>
      </c>
      <c r="BP123" s="14">
        <v>1</v>
      </c>
      <c r="BQ123" s="10">
        <v>42784</v>
      </c>
      <c r="BR123" s="44">
        <v>17141</v>
      </c>
      <c r="BS123" s="10">
        <v>5692</v>
      </c>
      <c r="BT123" s="10">
        <v>45798</v>
      </c>
      <c r="BU123" s="10">
        <v>43924</v>
      </c>
      <c r="BV123" s="10">
        <v>29391</v>
      </c>
      <c r="BW123" s="10">
        <f t="shared" si="30"/>
        <v>51490</v>
      </c>
      <c r="BX123" s="10">
        <f t="shared" si="31"/>
        <v>73315</v>
      </c>
      <c r="BY123" s="14">
        <v>125423</v>
      </c>
      <c r="BZ123" s="14">
        <v>0</v>
      </c>
      <c r="CA123" s="14">
        <v>354</v>
      </c>
      <c r="CB123" s="14">
        <v>125069</v>
      </c>
      <c r="CC123" s="14">
        <v>17265</v>
      </c>
      <c r="CD123" s="14">
        <v>94621</v>
      </c>
      <c r="CE123" s="14">
        <v>11706</v>
      </c>
      <c r="CF123" s="14">
        <v>20</v>
      </c>
      <c r="CG123" s="14">
        <v>749</v>
      </c>
      <c r="CH123" s="14">
        <v>276</v>
      </c>
      <c r="CI123" s="14">
        <v>786</v>
      </c>
      <c r="CJ123" s="14">
        <f t="shared" si="32"/>
        <v>1831</v>
      </c>
      <c r="CK123" s="14">
        <v>61026</v>
      </c>
      <c r="CL123" s="14">
        <v>64397</v>
      </c>
      <c r="CM123" s="14">
        <v>49332</v>
      </c>
      <c r="CN123" s="11">
        <f t="shared" si="33"/>
        <v>0.3933249882397965</v>
      </c>
      <c r="CO123" s="14">
        <v>76091</v>
      </c>
      <c r="CP123" s="11">
        <f t="shared" si="34"/>
        <v>0.60667501176020344</v>
      </c>
      <c r="CQ123" s="29">
        <v>5665</v>
      </c>
      <c r="CR123" s="29">
        <v>45423</v>
      </c>
      <c r="CS123" s="29">
        <v>42724</v>
      </c>
      <c r="CT123" s="29">
        <v>28067</v>
      </c>
      <c r="CU123" s="45">
        <v>6449</v>
      </c>
      <c r="CV123" s="45">
        <v>2039</v>
      </c>
      <c r="CW123" s="45">
        <v>2686</v>
      </c>
      <c r="CX123" s="45">
        <v>1243</v>
      </c>
      <c r="CY123" s="45">
        <v>481</v>
      </c>
      <c r="CZ123" s="45">
        <v>47</v>
      </c>
      <c r="DA123" s="45">
        <v>45</v>
      </c>
      <c r="DB123" s="45">
        <v>45</v>
      </c>
      <c r="DC123" s="45">
        <v>41</v>
      </c>
    </row>
    <row r="124" spans="1:107" x14ac:dyDescent="0.35">
      <c r="A124" s="1" t="s">
        <v>793</v>
      </c>
      <c r="B124" s="5" t="s">
        <v>0</v>
      </c>
      <c r="C124" s="3" t="s">
        <v>855</v>
      </c>
      <c r="D124" s="4" t="s">
        <v>856</v>
      </c>
      <c r="E124" s="5"/>
      <c r="F124" s="5">
        <v>24</v>
      </c>
      <c r="G124" s="2">
        <v>0.71362073055028463</v>
      </c>
      <c r="H124" s="2" t="s">
        <v>1276</v>
      </c>
      <c r="I124" s="17" t="s">
        <v>121</v>
      </c>
      <c r="J12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TAN KOK WAI </v>
      </c>
      <c r="K124" s="8">
        <v>5606</v>
      </c>
      <c r="L124" s="8" t="s">
        <v>77</v>
      </c>
      <c r="M124" s="7" t="s">
        <v>858</v>
      </c>
      <c r="N124" s="8">
        <v>60294</v>
      </c>
      <c r="O124" s="8" t="s">
        <v>102</v>
      </c>
      <c r="P124" s="7" t="s">
        <v>857</v>
      </c>
      <c r="Q124" s="8">
        <v>5846</v>
      </c>
      <c r="R124" s="8" t="s">
        <v>770</v>
      </c>
      <c r="S124" s="7" t="s">
        <v>859</v>
      </c>
      <c r="T124" s="10">
        <v>54448</v>
      </c>
      <c r="U124" s="10">
        <v>0</v>
      </c>
      <c r="V124" s="10">
        <v>1</v>
      </c>
      <c r="W124" s="10">
        <v>0</v>
      </c>
      <c r="X124" s="10">
        <v>6564</v>
      </c>
      <c r="Y124" s="12" t="s">
        <v>319</v>
      </c>
      <c r="Z124" s="12" t="s">
        <v>1277</v>
      </c>
      <c r="AA124" s="13" t="s">
        <v>860</v>
      </c>
      <c r="AB124" s="14">
        <v>49665</v>
      </c>
      <c r="AC124" s="15" t="s">
        <v>610</v>
      </c>
      <c r="AD124" s="16">
        <v>5654</v>
      </c>
      <c r="AE124" s="14">
        <v>7006</v>
      </c>
      <c r="AF124" s="14"/>
      <c r="AG124" s="14">
        <v>56671</v>
      </c>
      <c r="AH124" s="14" t="s">
        <v>82</v>
      </c>
      <c r="AI124" s="15" t="s">
        <v>321</v>
      </c>
      <c r="AJ124" s="14">
        <v>0</v>
      </c>
      <c r="AK124" s="14">
        <v>1</v>
      </c>
      <c r="AL124" s="14">
        <v>0</v>
      </c>
      <c r="AM124" s="51">
        <v>78819</v>
      </c>
      <c r="AN124" s="51">
        <v>7610</v>
      </c>
      <c r="AO124" s="51">
        <v>65361</v>
      </c>
      <c r="AP124" s="51">
        <v>5384</v>
      </c>
      <c r="AQ124" s="51">
        <v>218</v>
      </c>
      <c r="AR124" s="51">
        <v>195</v>
      </c>
      <c r="AS124" s="51">
        <v>44</v>
      </c>
      <c r="AT124" s="51">
        <v>7</v>
      </c>
      <c r="AU124" s="51">
        <v>38498</v>
      </c>
      <c r="AV124" s="51">
        <v>40321</v>
      </c>
      <c r="AW124" s="51">
        <v>18282</v>
      </c>
      <c r="AX124" s="51">
        <v>60537</v>
      </c>
      <c r="AY124" s="14">
        <v>9599.6666666666661</v>
      </c>
      <c r="AZ124" s="14">
        <v>101184</v>
      </c>
      <c r="BA124" s="14">
        <v>15</v>
      </c>
      <c r="BB124" s="14">
        <v>1141</v>
      </c>
      <c r="BC124" s="14">
        <v>100028</v>
      </c>
      <c r="BD124" s="14">
        <v>14163</v>
      </c>
      <c r="BE124" s="11">
        <f>Table14[[#This Row],[Melayu_Voters_GE15]]/Table14[[#This Row],[All_Voters_GE15]]</f>
        <v>0.13997272296015181</v>
      </c>
      <c r="BF124" s="14">
        <v>77874</v>
      </c>
      <c r="BG124" s="11">
        <f>Table14[[#This Row],[Chinese_Voters_GE15]]/Table14[[#This Row],[All_Voters_GE15]]</f>
        <v>0.76962760910815942</v>
      </c>
      <c r="BH124" s="14">
        <v>8054</v>
      </c>
      <c r="BI124" s="11">
        <f>Table14[[#This Row],[India_Voters_GE15]]/Table14[[#This Row],[All_Voters_GE15]]</f>
        <v>7.9597564832384574E-2</v>
      </c>
      <c r="BJ124" s="14">
        <v>11</v>
      </c>
      <c r="BK124" s="14">
        <v>572</v>
      </c>
      <c r="BL124" s="14">
        <v>214</v>
      </c>
      <c r="BM124" s="14">
        <v>296</v>
      </c>
      <c r="BN124" s="14">
        <f>Table14[[#This Row],[Lain_Voters_GE15]]+Table14[[#This Row],[Swak_Voters_GE15]]+Table14[[#This Row],[Sabah_Voters_GE15]]+Table14[[#This Row],[OA_Voters_GE15]]</f>
        <v>1093</v>
      </c>
      <c r="BO124" s="11">
        <f>Table14[[#This Row],[Base_Stock_GE15]]/Table14[[#This Row],[All_Voters_GE15]]</f>
        <v>6.4871916508538893E-2</v>
      </c>
      <c r="BP124" s="14">
        <v>1918</v>
      </c>
      <c r="BQ124" s="10">
        <v>27754</v>
      </c>
      <c r="BR124" s="44">
        <v>10884</v>
      </c>
      <c r="BS124" s="10">
        <v>3486</v>
      </c>
      <c r="BT124" s="10">
        <v>31878</v>
      </c>
      <c r="BU124" s="10">
        <v>36891</v>
      </c>
      <c r="BV124" s="10">
        <v>28929</v>
      </c>
      <c r="BW124" s="10">
        <f t="shared" si="30"/>
        <v>35364</v>
      </c>
      <c r="BX124" s="10">
        <f t="shared" si="31"/>
        <v>65820</v>
      </c>
      <c r="BY124" s="14">
        <v>97149</v>
      </c>
      <c r="BZ124" s="14">
        <v>0</v>
      </c>
      <c r="CA124" s="14">
        <v>1334</v>
      </c>
      <c r="CB124" s="14">
        <v>95815</v>
      </c>
      <c r="CC124" s="14">
        <v>15081</v>
      </c>
      <c r="CD124" s="14">
        <v>73163</v>
      </c>
      <c r="CE124" s="14">
        <v>7705</v>
      </c>
      <c r="CF124" s="14">
        <v>17</v>
      </c>
      <c r="CG124" s="14">
        <v>609</v>
      </c>
      <c r="CH124" s="14">
        <v>248</v>
      </c>
      <c r="CI124" s="14">
        <v>326</v>
      </c>
      <c r="CJ124" s="14">
        <f t="shared" si="32"/>
        <v>1200</v>
      </c>
      <c r="CK124" s="14">
        <v>48473</v>
      </c>
      <c r="CL124" s="14">
        <v>48676</v>
      </c>
      <c r="CM124" s="14">
        <v>32453</v>
      </c>
      <c r="CN124" s="11">
        <f t="shared" si="33"/>
        <v>0.33405387600489966</v>
      </c>
      <c r="CO124" s="14">
        <v>64696</v>
      </c>
      <c r="CP124" s="11">
        <f t="shared" si="34"/>
        <v>0.66594612399510034</v>
      </c>
      <c r="CQ124" s="29">
        <v>3467</v>
      </c>
      <c r="CR124" s="29">
        <v>31583</v>
      </c>
      <c r="CS124" s="29">
        <v>35576</v>
      </c>
      <c r="CT124" s="29">
        <v>27414</v>
      </c>
      <c r="CU124" s="45">
        <v>4704</v>
      </c>
      <c r="CV124" s="45">
        <v>1367</v>
      </c>
      <c r="CW124" s="45">
        <v>2182</v>
      </c>
      <c r="CX124" s="45">
        <v>750</v>
      </c>
      <c r="CY124" s="45">
        <v>405</v>
      </c>
      <c r="CZ124" s="45">
        <v>31</v>
      </c>
      <c r="DA124" s="45">
        <v>31</v>
      </c>
      <c r="DB124" s="45">
        <v>31</v>
      </c>
      <c r="DC124" s="45">
        <v>29</v>
      </c>
    </row>
    <row r="125" spans="1:107" x14ac:dyDescent="0.35">
      <c r="A125" s="1" t="s">
        <v>793</v>
      </c>
      <c r="B125" s="5" t="s">
        <v>0</v>
      </c>
      <c r="C125" s="3" t="s">
        <v>861</v>
      </c>
      <c r="D125" s="4" t="s">
        <v>862</v>
      </c>
      <c r="E125" s="5"/>
      <c r="F125" s="5">
        <v>19</v>
      </c>
      <c r="G125" s="2">
        <v>0.78738935268699917</v>
      </c>
      <c r="H125" s="2" t="s">
        <v>1276</v>
      </c>
      <c r="I125" s="17" t="s">
        <v>121</v>
      </c>
      <c r="J12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DATO'SERI DR WAN AZIZAH BINTI WAN ISMAIL </v>
      </c>
      <c r="K125" s="8">
        <v>15886</v>
      </c>
      <c r="L125" s="8" t="s">
        <v>77</v>
      </c>
      <c r="M125" s="7" t="s">
        <v>864</v>
      </c>
      <c r="N125" s="8">
        <v>43476</v>
      </c>
      <c r="O125" s="8" t="s">
        <v>23</v>
      </c>
      <c r="P125" s="7" t="s">
        <v>863</v>
      </c>
      <c r="Q125" s="8">
        <v>33659</v>
      </c>
      <c r="R125" s="8" t="s">
        <v>25</v>
      </c>
      <c r="S125" s="7" t="s">
        <v>865</v>
      </c>
      <c r="T125" s="10">
        <v>9817</v>
      </c>
      <c r="U125" s="10">
        <v>0</v>
      </c>
      <c r="V125" s="10">
        <v>1</v>
      </c>
      <c r="W125" s="10">
        <v>0</v>
      </c>
      <c r="X125" s="10">
        <v>29777</v>
      </c>
      <c r="Y125" s="12" t="s">
        <v>26</v>
      </c>
      <c r="Z125" s="12" t="s">
        <v>1277</v>
      </c>
      <c r="AA125" s="13" t="s">
        <v>866</v>
      </c>
      <c r="AB125" s="14">
        <v>19930</v>
      </c>
      <c r="AC125" s="15" t="s">
        <v>867</v>
      </c>
      <c r="AD125" s="16">
        <v>37152</v>
      </c>
      <c r="AE125" s="14">
        <v>21196</v>
      </c>
      <c r="AF125" s="14">
        <v>7884</v>
      </c>
      <c r="AG125" s="14">
        <v>41126</v>
      </c>
      <c r="AH125" s="14" t="s">
        <v>17</v>
      </c>
      <c r="AI125" s="15" t="s">
        <v>29</v>
      </c>
      <c r="AJ125" s="14">
        <v>0</v>
      </c>
      <c r="AK125" s="14">
        <v>1</v>
      </c>
      <c r="AL125" s="14">
        <v>0</v>
      </c>
      <c r="AM125" s="51">
        <v>83650</v>
      </c>
      <c r="AN125" s="51">
        <v>51063</v>
      </c>
      <c r="AO125" s="51">
        <v>24346</v>
      </c>
      <c r="AP125" s="51">
        <v>7052</v>
      </c>
      <c r="AQ125" s="51">
        <v>346</v>
      </c>
      <c r="AR125" s="51">
        <v>409</v>
      </c>
      <c r="AS125" s="51">
        <v>422</v>
      </c>
      <c r="AT125" s="51">
        <v>12</v>
      </c>
      <c r="AU125" s="51">
        <v>41078</v>
      </c>
      <c r="AV125" s="51">
        <v>42572</v>
      </c>
      <c r="AW125" s="51">
        <v>32865</v>
      </c>
      <c r="AX125" s="51">
        <v>50785</v>
      </c>
      <c r="AY125" s="14">
        <v>26346.333333333332</v>
      </c>
      <c r="AZ125" s="14">
        <v>119185</v>
      </c>
      <c r="BA125" s="14">
        <v>20</v>
      </c>
      <c r="BB125" s="14">
        <v>5011</v>
      </c>
      <c r="BC125" s="14">
        <v>114154</v>
      </c>
      <c r="BD125" s="14">
        <v>74934</v>
      </c>
      <c r="BE125" s="11">
        <f>Table14[[#This Row],[Melayu_Voters_GE15]]/Table14[[#This Row],[All_Voters_GE15]]</f>
        <v>0.62872005705415945</v>
      </c>
      <c r="BF125" s="14">
        <v>31832</v>
      </c>
      <c r="BG125" s="11">
        <f>Table14[[#This Row],[Chinese_Voters_GE15]]/Table14[[#This Row],[All_Voters_GE15]]</f>
        <v>0.26708058900029363</v>
      </c>
      <c r="BH125" s="14">
        <v>10623</v>
      </c>
      <c r="BI125" s="11">
        <f>Table14[[#This Row],[India_Voters_GE15]]/Table14[[#This Row],[All_Voters_GE15]]</f>
        <v>8.9130343583504634E-2</v>
      </c>
      <c r="BJ125" s="14">
        <v>23</v>
      </c>
      <c r="BK125" s="14">
        <v>847</v>
      </c>
      <c r="BL125" s="14">
        <v>664</v>
      </c>
      <c r="BM125" s="14">
        <v>262</v>
      </c>
      <c r="BN125" s="14">
        <f>Table14[[#This Row],[Lain_Voters_GE15]]+Table14[[#This Row],[Swak_Voters_GE15]]+Table14[[#This Row],[Sabah_Voters_GE15]]+Table14[[#This Row],[OA_Voters_GE15]]</f>
        <v>1796</v>
      </c>
      <c r="BO125" s="11">
        <f>Table14[[#This Row],[Base_Stock_GE15]]/Table14[[#This Row],[All_Voters_GE15]]</f>
        <v>0.24983848638670975</v>
      </c>
      <c r="BP125" s="14">
        <v>20228</v>
      </c>
      <c r="BQ125" s="10">
        <v>40154</v>
      </c>
      <c r="BR125" s="44">
        <v>20923</v>
      </c>
      <c r="BS125" s="10">
        <v>6849</v>
      </c>
      <c r="BT125" s="10">
        <v>55166</v>
      </c>
      <c r="BU125" s="10">
        <v>38919</v>
      </c>
      <c r="BV125" s="10">
        <v>18251</v>
      </c>
      <c r="BW125" s="10">
        <f t="shared" si="30"/>
        <v>62015</v>
      </c>
      <c r="BX125" s="10">
        <f t="shared" si="31"/>
        <v>57170</v>
      </c>
      <c r="BY125" s="14">
        <v>122697</v>
      </c>
      <c r="BZ125" s="14">
        <v>0</v>
      </c>
      <c r="CA125" s="14">
        <v>4832</v>
      </c>
      <c r="CB125" s="14">
        <v>117865</v>
      </c>
      <c r="CC125" s="14">
        <v>78583</v>
      </c>
      <c r="CD125" s="14">
        <v>31611</v>
      </c>
      <c r="CE125" s="14">
        <v>10573</v>
      </c>
      <c r="CF125" s="14">
        <v>27</v>
      </c>
      <c r="CG125" s="14">
        <v>887</v>
      </c>
      <c r="CH125" s="14">
        <v>714</v>
      </c>
      <c r="CI125" s="14">
        <v>302</v>
      </c>
      <c r="CJ125" s="14">
        <f t="shared" si="32"/>
        <v>1930</v>
      </c>
      <c r="CK125" s="14">
        <v>61342</v>
      </c>
      <c r="CL125" s="14">
        <v>61355</v>
      </c>
      <c r="CM125" s="14">
        <v>59743</v>
      </c>
      <c r="CN125" s="11">
        <f t="shared" si="33"/>
        <v>0.48691492049520363</v>
      </c>
      <c r="CO125" s="14">
        <v>62954</v>
      </c>
      <c r="CP125" s="11">
        <f t="shared" si="34"/>
        <v>0.51308507950479632</v>
      </c>
      <c r="CQ125" s="29">
        <v>6778</v>
      </c>
      <c r="CR125" s="29">
        <v>54320</v>
      </c>
      <c r="CS125" s="29">
        <v>37934</v>
      </c>
      <c r="CT125" s="29">
        <v>17561</v>
      </c>
      <c r="CU125" s="45">
        <v>12405</v>
      </c>
      <c r="CV125" s="45">
        <v>4789</v>
      </c>
      <c r="CW125" s="45">
        <v>5658</v>
      </c>
      <c r="CX125" s="45">
        <v>1261</v>
      </c>
      <c r="CY125" s="45">
        <v>697</v>
      </c>
      <c r="CZ125" s="45">
        <v>65</v>
      </c>
      <c r="DA125" s="45">
        <v>65</v>
      </c>
      <c r="DB125" s="45">
        <v>64</v>
      </c>
      <c r="DC125" s="45">
        <v>61</v>
      </c>
    </row>
    <row r="126" spans="1:107" x14ac:dyDescent="0.35">
      <c r="A126" s="1" t="s">
        <v>793</v>
      </c>
      <c r="B126" s="5" t="s">
        <v>0</v>
      </c>
      <c r="C126" s="3" t="s">
        <v>868</v>
      </c>
      <c r="D126" s="4" t="s">
        <v>869</v>
      </c>
      <c r="E126" s="5"/>
      <c r="F126" s="5">
        <v>7</v>
      </c>
      <c r="G126" s="2">
        <v>0.86213008092162025</v>
      </c>
      <c r="H126" s="2" t="s">
        <v>1276</v>
      </c>
      <c r="I126" s="9" t="s">
        <v>13</v>
      </c>
      <c r="J12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DR RADZI JIDIN (DRJ) </v>
      </c>
      <c r="K126" s="8">
        <v>13692</v>
      </c>
      <c r="L126" s="8" t="s">
        <v>8</v>
      </c>
      <c r="M126" s="7" t="s">
        <v>871</v>
      </c>
      <c r="N126" s="8">
        <v>5988</v>
      </c>
      <c r="O126" s="8" t="s">
        <v>23</v>
      </c>
      <c r="P126" s="7" t="s">
        <v>872</v>
      </c>
      <c r="Q126" s="8">
        <v>16002</v>
      </c>
      <c r="R126" s="8" t="s">
        <v>25</v>
      </c>
      <c r="S126" s="7" t="s">
        <v>870</v>
      </c>
      <c r="T126" s="10">
        <v>2310</v>
      </c>
      <c r="U126" s="10">
        <v>0</v>
      </c>
      <c r="V126" s="10">
        <v>0</v>
      </c>
      <c r="W126" s="10">
        <v>1</v>
      </c>
      <c r="X126" s="10">
        <v>22972</v>
      </c>
      <c r="Y126" s="12" t="s">
        <v>14</v>
      </c>
      <c r="Z126" s="12" t="s">
        <v>1277</v>
      </c>
      <c r="AA126" s="13" t="s">
        <v>873</v>
      </c>
      <c r="AB126" s="14">
        <v>3372</v>
      </c>
      <c r="AC126" s="15" t="s">
        <v>874</v>
      </c>
      <c r="AD126" s="16">
        <v>18376</v>
      </c>
      <c r="AE126" s="14">
        <v>12148</v>
      </c>
      <c r="AF126" s="14">
        <v>3634</v>
      </c>
      <c r="AG126" s="14">
        <v>8776</v>
      </c>
      <c r="AH126" s="14" t="s">
        <v>17</v>
      </c>
      <c r="AI126" s="15" t="s">
        <v>18</v>
      </c>
      <c r="AJ126" s="14">
        <v>1</v>
      </c>
      <c r="AK126" s="14">
        <v>0</v>
      </c>
      <c r="AL126" s="14">
        <v>0</v>
      </c>
      <c r="AM126" s="51">
        <v>27306</v>
      </c>
      <c r="AN126" s="51">
        <v>25659</v>
      </c>
      <c r="AO126" s="51">
        <v>242</v>
      </c>
      <c r="AP126" s="51">
        <v>878</v>
      </c>
      <c r="AQ126" s="51">
        <v>113</v>
      </c>
      <c r="AR126" s="51">
        <v>302</v>
      </c>
      <c r="AS126" s="51">
        <v>102</v>
      </c>
      <c r="AT126" s="51">
        <v>10</v>
      </c>
      <c r="AU126" s="51">
        <v>13157</v>
      </c>
      <c r="AV126" s="51">
        <v>14149</v>
      </c>
      <c r="AW126" s="51">
        <v>15708</v>
      </c>
      <c r="AX126" s="51">
        <v>11598</v>
      </c>
      <c r="AY126" s="14">
        <v>8709.6666666666661</v>
      </c>
      <c r="AZ126" s="14">
        <v>42881</v>
      </c>
      <c r="BA126" s="14">
        <v>69</v>
      </c>
      <c r="BB126" s="14">
        <v>1386</v>
      </c>
      <c r="BC126" s="14">
        <v>41426</v>
      </c>
      <c r="BD126" s="14">
        <v>40499</v>
      </c>
      <c r="BE126" s="11">
        <f>Table14[[#This Row],[Melayu_Voters_GE15]]/Table14[[#This Row],[All_Voters_GE15]]</f>
        <v>0.94445092231990857</v>
      </c>
      <c r="BF126" s="14">
        <v>380</v>
      </c>
      <c r="BG126" s="11">
        <f>Table14[[#This Row],[Chinese_Voters_GE15]]/Table14[[#This Row],[All_Voters_GE15]]</f>
        <v>8.8617336349432144E-3</v>
      </c>
      <c r="BH126" s="14">
        <v>1193</v>
      </c>
      <c r="BI126" s="11">
        <f>Table14[[#This Row],[India_Voters_GE15]]/Table14[[#This Row],[All_Voters_GE15]]</f>
        <v>2.7821179543387514E-2</v>
      </c>
      <c r="BJ126" s="14">
        <v>27</v>
      </c>
      <c r="BK126" s="14">
        <v>511</v>
      </c>
      <c r="BL126" s="14">
        <v>193</v>
      </c>
      <c r="BM126" s="14">
        <v>78</v>
      </c>
      <c r="BN126" s="14">
        <f>Table14[[#This Row],[Lain_Voters_GE15]]+Table14[[#This Row],[Swak_Voters_GE15]]+Table14[[#This Row],[Sabah_Voters_GE15]]+Table14[[#This Row],[OA_Voters_GE15]]</f>
        <v>809</v>
      </c>
      <c r="BO126" s="11">
        <f>Table14[[#This Row],[Base_Stock_GE15]]/Table14[[#This Row],[All_Voters_GE15]]</f>
        <v>0.53571511858398824</v>
      </c>
      <c r="BP126" s="14">
        <v>18860</v>
      </c>
      <c r="BQ126" s="10">
        <v>12473</v>
      </c>
      <c r="BR126" s="44">
        <v>8448</v>
      </c>
      <c r="BS126" s="10">
        <v>3253</v>
      </c>
      <c r="BT126" s="10">
        <v>23200</v>
      </c>
      <c r="BU126" s="10">
        <v>12908</v>
      </c>
      <c r="BV126" s="10">
        <v>3520</v>
      </c>
      <c r="BW126" s="10">
        <f t="shared" ref="BW126:BW138" si="35">BS126+BT126</f>
        <v>26453</v>
      </c>
      <c r="BX126" s="10">
        <f t="shared" ref="BX126:BX138" si="36">BU126+BV126</f>
        <v>16428</v>
      </c>
      <c r="BY126" s="14">
        <v>48817</v>
      </c>
      <c r="BZ126" s="14">
        <v>0</v>
      </c>
      <c r="CA126" s="14">
        <v>1200</v>
      </c>
      <c r="CB126" s="14">
        <v>47617</v>
      </c>
      <c r="CC126" s="14">
        <v>46339</v>
      </c>
      <c r="CD126" s="14">
        <v>368</v>
      </c>
      <c r="CE126" s="14">
        <v>1144</v>
      </c>
      <c r="CF126" s="14">
        <v>35</v>
      </c>
      <c r="CG126" s="14">
        <v>586</v>
      </c>
      <c r="CH126" s="14">
        <v>241</v>
      </c>
      <c r="CI126" s="14">
        <v>104</v>
      </c>
      <c r="CJ126" s="14">
        <f t="shared" ref="CJ126:CJ138" si="37">SUM(CF126:CI126)</f>
        <v>966</v>
      </c>
      <c r="CK126" s="14">
        <v>24007</v>
      </c>
      <c r="CL126" s="14">
        <v>24810</v>
      </c>
      <c r="CM126" s="14">
        <v>25640</v>
      </c>
      <c r="CN126" s="11">
        <f t="shared" ref="CN126:CN138" si="38">CM126/$BY126</f>
        <v>0.52522686768953442</v>
      </c>
      <c r="CO126" s="14">
        <v>23177</v>
      </c>
      <c r="CP126" s="11">
        <f t="shared" ref="CP126:CP138" si="39">CO126/$BY126</f>
        <v>0.47477313231046564</v>
      </c>
      <c r="CQ126" s="29">
        <v>3236</v>
      </c>
      <c r="CR126" s="29">
        <v>22843</v>
      </c>
      <c r="CS126" s="29">
        <v>12592</v>
      </c>
      <c r="CT126" s="29">
        <v>3348</v>
      </c>
      <c r="CU126" s="45">
        <v>6856</v>
      </c>
      <c r="CV126" s="45">
        <v>1984</v>
      </c>
      <c r="CW126" s="45">
        <v>2703</v>
      </c>
      <c r="CX126" s="45">
        <v>1565</v>
      </c>
      <c r="CY126" s="45">
        <v>604</v>
      </c>
      <c r="CZ126" s="45">
        <v>66</v>
      </c>
      <c r="DA126" s="45">
        <v>66</v>
      </c>
      <c r="DB126" s="45">
        <v>66</v>
      </c>
      <c r="DC126" s="45">
        <v>63</v>
      </c>
    </row>
    <row r="127" spans="1:107" x14ac:dyDescent="0.35">
      <c r="A127" s="1" t="s">
        <v>875</v>
      </c>
      <c r="B127" s="5" t="s">
        <v>0</v>
      </c>
      <c r="C127" s="3" t="s">
        <v>876</v>
      </c>
      <c r="D127" s="4" t="s">
        <v>877</v>
      </c>
      <c r="E127" s="5">
        <v>4</v>
      </c>
      <c r="F127" s="5">
        <v>35</v>
      </c>
      <c r="G127" s="2">
        <v>0.7724517721327715</v>
      </c>
      <c r="H127" s="2" t="s">
        <v>1276</v>
      </c>
      <c r="I127" s="21" t="s">
        <v>403</v>
      </c>
      <c r="J12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JALALUDDIN BIN ALIAS </v>
      </c>
      <c r="K127" s="8">
        <v>21805</v>
      </c>
      <c r="L127" s="8" t="s">
        <v>8</v>
      </c>
      <c r="M127" s="7" t="s">
        <v>878</v>
      </c>
      <c r="N127" s="8">
        <v>13680</v>
      </c>
      <c r="O127" s="8" t="s">
        <v>23</v>
      </c>
      <c r="P127" s="7" t="s">
        <v>879</v>
      </c>
      <c r="Q127" s="8">
        <v>9596</v>
      </c>
      <c r="R127" s="8" t="s">
        <v>25</v>
      </c>
      <c r="S127" s="7" t="s">
        <v>880</v>
      </c>
      <c r="T127" s="10">
        <v>8125</v>
      </c>
      <c r="U127" s="10">
        <v>1</v>
      </c>
      <c r="V127" s="10">
        <v>0</v>
      </c>
      <c r="W127" s="10">
        <v>0</v>
      </c>
      <c r="X127" s="10">
        <v>29073</v>
      </c>
      <c r="Y127" s="12" t="s">
        <v>14</v>
      </c>
      <c r="Z127" s="12" t="s">
        <v>1277</v>
      </c>
      <c r="AA127" s="13" t="s">
        <v>881</v>
      </c>
      <c r="AB127" s="14">
        <v>2045</v>
      </c>
      <c r="AC127" s="15" t="s">
        <v>882</v>
      </c>
      <c r="AD127" s="16">
        <v>27999</v>
      </c>
      <c r="AE127" s="14">
        <v>19062</v>
      </c>
      <c r="AF127" s="14">
        <v>2878</v>
      </c>
      <c r="AG127" s="14">
        <v>17017</v>
      </c>
      <c r="AH127" s="14" t="s">
        <v>17</v>
      </c>
      <c r="AI127" s="15" t="s">
        <v>10</v>
      </c>
      <c r="AJ127" s="14">
        <v>1</v>
      </c>
      <c r="AK127" s="14">
        <v>0</v>
      </c>
      <c r="AL127" s="14">
        <v>0</v>
      </c>
      <c r="AM127" s="51">
        <v>48522</v>
      </c>
      <c r="AN127" s="51">
        <v>31537</v>
      </c>
      <c r="AO127" s="51">
        <v>11707</v>
      </c>
      <c r="AP127" s="51">
        <v>2765</v>
      </c>
      <c r="AQ127" s="51">
        <v>85</v>
      </c>
      <c r="AR127" s="51">
        <v>135</v>
      </c>
      <c r="AS127" s="51">
        <v>72</v>
      </c>
      <c r="AT127" s="51">
        <v>2221</v>
      </c>
      <c r="AU127" s="51">
        <v>24590</v>
      </c>
      <c r="AV127" s="51">
        <v>23932</v>
      </c>
      <c r="AW127" s="51">
        <v>19339</v>
      </c>
      <c r="AX127" s="51">
        <v>29183</v>
      </c>
      <c r="AY127" s="14">
        <v>20304.333333333332</v>
      </c>
      <c r="AZ127" s="14">
        <v>59561</v>
      </c>
      <c r="BA127" s="14">
        <v>4</v>
      </c>
      <c r="BB127" s="14">
        <v>739</v>
      </c>
      <c r="BC127" s="14">
        <v>58818</v>
      </c>
      <c r="BD127" s="14">
        <v>39084</v>
      </c>
      <c r="BE127" s="11">
        <f>Table14[[#This Row],[Melayu_Voters_GE15]]/Table14[[#This Row],[All_Voters_GE15]]</f>
        <v>0.65620120548681182</v>
      </c>
      <c r="BF127" s="14">
        <v>13885</v>
      </c>
      <c r="BG127" s="11">
        <f>Table14[[#This Row],[Chinese_Voters_GE15]]/Table14[[#This Row],[All_Voters_GE15]]</f>
        <v>0.2331223451587448</v>
      </c>
      <c r="BH127" s="14">
        <v>3277</v>
      </c>
      <c r="BI127" s="11">
        <f>Table14[[#This Row],[India_Voters_GE15]]/Table14[[#This Row],[All_Voters_GE15]]</f>
        <v>5.5019223988851763E-2</v>
      </c>
      <c r="BJ127" s="14">
        <v>3131</v>
      </c>
      <c r="BK127" s="14">
        <v>94</v>
      </c>
      <c r="BL127" s="14">
        <v>47</v>
      </c>
      <c r="BM127" s="14">
        <v>43</v>
      </c>
      <c r="BN127" s="14">
        <f>Table14[[#This Row],[Lain_Voters_GE15]]+Table14[[#This Row],[Swak_Voters_GE15]]+Table14[[#This Row],[Sabah_Voters_GE15]]+Table14[[#This Row],[OA_Voters_GE15]]</f>
        <v>3315</v>
      </c>
      <c r="BO127" s="11">
        <f>Table14[[#This Row],[Base_Stock_GE15]]/Table14[[#This Row],[All_Voters_GE15]]</f>
        <v>0.48812142173569956</v>
      </c>
      <c r="BP127" s="14">
        <v>22419</v>
      </c>
      <c r="BQ127" s="10">
        <v>15246</v>
      </c>
      <c r="BR127" s="44">
        <v>7931</v>
      </c>
      <c r="BS127" s="10">
        <v>2566</v>
      </c>
      <c r="BT127" s="10">
        <v>25560</v>
      </c>
      <c r="BU127" s="10">
        <v>18799</v>
      </c>
      <c r="BV127" s="10">
        <v>12636</v>
      </c>
      <c r="BW127" s="10">
        <f t="shared" si="35"/>
        <v>28126</v>
      </c>
      <c r="BX127" s="10">
        <f t="shared" si="36"/>
        <v>31435</v>
      </c>
      <c r="BY127" s="14">
        <v>60351</v>
      </c>
      <c r="BZ127" s="14">
        <v>0</v>
      </c>
      <c r="CA127" s="14">
        <v>1202</v>
      </c>
      <c r="CB127" s="14">
        <v>59149</v>
      </c>
      <c r="CC127" s="14">
        <v>40057</v>
      </c>
      <c r="CD127" s="14">
        <v>13438</v>
      </c>
      <c r="CE127" s="14">
        <v>3246</v>
      </c>
      <c r="CF127" s="14">
        <v>3360</v>
      </c>
      <c r="CG127" s="14">
        <v>134</v>
      </c>
      <c r="CH127" s="14">
        <v>56</v>
      </c>
      <c r="CI127" s="14">
        <v>60</v>
      </c>
      <c r="CJ127" s="14">
        <f t="shared" si="37"/>
        <v>3610</v>
      </c>
      <c r="CK127" s="14">
        <v>30463</v>
      </c>
      <c r="CL127" s="14">
        <v>29888</v>
      </c>
      <c r="CM127" s="14">
        <v>25672</v>
      </c>
      <c r="CN127" s="11">
        <f t="shared" si="38"/>
        <v>0.42537820417225897</v>
      </c>
      <c r="CO127" s="14">
        <v>34679</v>
      </c>
      <c r="CP127" s="11">
        <f t="shared" si="39"/>
        <v>0.57462179582774109</v>
      </c>
      <c r="CQ127" s="29">
        <v>2882</v>
      </c>
      <c r="CR127" s="29">
        <v>22054</v>
      </c>
      <c r="CS127" s="29">
        <v>12326</v>
      </c>
      <c r="CT127" s="29">
        <v>6626</v>
      </c>
      <c r="CU127" s="45">
        <v>8978</v>
      </c>
      <c r="CV127" s="45">
        <v>3584</v>
      </c>
      <c r="CW127" s="45">
        <v>3568</v>
      </c>
      <c r="CX127" s="45">
        <v>1202</v>
      </c>
      <c r="CY127" s="45">
        <v>624</v>
      </c>
      <c r="CZ127" s="45">
        <v>47</v>
      </c>
      <c r="DA127" s="45">
        <v>39</v>
      </c>
      <c r="DB127" s="45">
        <v>34</v>
      </c>
      <c r="DC127" s="45">
        <v>32</v>
      </c>
    </row>
    <row r="128" spans="1:107" x14ac:dyDescent="0.35">
      <c r="A128" s="1" t="s">
        <v>875</v>
      </c>
      <c r="B128" s="5" t="s">
        <v>0</v>
      </c>
      <c r="C128" s="3" t="s">
        <v>883</v>
      </c>
      <c r="D128" s="4" t="s">
        <v>884</v>
      </c>
      <c r="E128" s="5">
        <v>4</v>
      </c>
      <c r="F128" s="5">
        <v>40</v>
      </c>
      <c r="G128" s="2">
        <v>0.75989688246897602</v>
      </c>
      <c r="H128" s="2" t="s">
        <v>1276</v>
      </c>
      <c r="I128" s="21" t="s">
        <v>403</v>
      </c>
      <c r="J12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HJ SHAMSHULKAHAR BIN HAJI MOHD DELI </v>
      </c>
      <c r="K128" s="8">
        <v>30138</v>
      </c>
      <c r="L128" s="8" t="s">
        <v>8</v>
      </c>
      <c r="M128" s="7" t="s">
        <v>885</v>
      </c>
      <c r="N128" s="8">
        <v>24281</v>
      </c>
      <c r="O128" s="8" t="s">
        <v>214</v>
      </c>
      <c r="P128" s="7" t="s">
        <v>886</v>
      </c>
      <c r="Q128" s="8">
        <v>16722</v>
      </c>
      <c r="R128" s="8" t="s">
        <v>25</v>
      </c>
      <c r="S128" s="7" t="s">
        <v>887</v>
      </c>
      <c r="T128" s="10">
        <v>5857</v>
      </c>
      <c r="U128" s="10">
        <v>1</v>
      </c>
      <c r="V128" s="10">
        <v>0</v>
      </c>
      <c r="W128" s="10">
        <v>0</v>
      </c>
      <c r="X128" s="10">
        <v>43956</v>
      </c>
      <c r="Y128" s="12" t="s">
        <v>14</v>
      </c>
      <c r="Z128" s="12" t="s">
        <v>1277</v>
      </c>
      <c r="AA128" s="13" t="s">
        <v>888</v>
      </c>
      <c r="AB128" s="14">
        <v>1631</v>
      </c>
      <c r="AC128" s="15" t="s">
        <v>81</v>
      </c>
      <c r="AD128" s="16">
        <v>45359</v>
      </c>
      <c r="AE128" s="14">
        <v>26819</v>
      </c>
      <c r="AF128" s="14">
        <v>5267</v>
      </c>
      <c r="AG128" s="14">
        <v>25188</v>
      </c>
      <c r="AH128" s="14" t="s">
        <v>17</v>
      </c>
      <c r="AI128" s="15" t="s">
        <v>18</v>
      </c>
      <c r="AJ128" s="14">
        <v>1</v>
      </c>
      <c r="AK128" s="14">
        <v>0</v>
      </c>
      <c r="AL128" s="14">
        <v>0</v>
      </c>
      <c r="AM128" s="51">
        <v>72122</v>
      </c>
      <c r="AN128" s="51">
        <v>45688</v>
      </c>
      <c r="AO128" s="51">
        <v>16759</v>
      </c>
      <c r="AP128" s="51">
        <v>8908</v>
      </c>
      <c r="AQ128" s="51">
        <v>121</v>
      </c>
      <c r="AR128" s="51">
        <v>57</v>
      </c>
      <c r="AS128" s="51">
        <v>32</v>
      </c>
      <c r="AT128" s="51">
        <v>557</v>
      </c>
      <c r="AU128" s="51">
        <v>35066</v>
      </c>
      <c r="AV128" s="51">
        <v>37056</v>
      </c>
      <c r="AW128" s="51">
        <v>31012</v>
      </c>
      <c r="AX128" s="51">
        <v>41110</v>
      </c>
      <c r="AY128" s="14">
        <v>27740.666666666668</v>
      </c>
      <c r="AZ128" s="14">
        <v>95813</v>
      </c>
      <c r="BA128" s="14">
        <v>4</v>
      </c>
      <c r="BB128" s="14">
        <v>390</v>
      </c>
      <c r="BC128" s="14">
        <v>95419</v>
      </c>
      <c r="BD128" s="14">
        <v>61388</v>
      </c>
      <c r="BE128" s="11">
        <f>Table14[[#This Row],[Melayu_Voters_GE15]]/Table14[[#This Row],[All_Voters_GE15]]</f>
        <v>0.64070637596150837</v>
      </c>
      <c r="BF128" s="14">
        <v>21012</v>
      </c>
      <c r="BG128" s="11">
        <f>Table14[[#This Row],[Chinese_Voters_GE15]]/Table14[[#This Row],[All_Voters_GE15]]</f>
        <v>0.21930218237608676</v>
      </c>
      <c r="BH128" s="14">
        <v>12270</v>
      </c>
      <c r="BI128" s="11">
        <f>Table14[[#This Row],[India_Voters_GE15]]/Table14[[#This Row],[All_Voters_GE15]]</f>
        <v>0.12806195401459092</v>
      </c>
      <c r="BJ128" s="14">
        <v>857</v>
      </c>
      <c r="BK128" s="14">
        <v>102</v>
      </c>
      <c r="BL128" s="14">
        <v>72</v>
      </c>
      <c r="BM128" s="14">
        <v>112</v>
      </c>
      <c r="BN128" s="14">
        <f>Table14[[#This Row],[Lain_Voters_GE15]]+Table14[[#This Row],[Swak_Voters_GE15]]+Table14[[#This Row],[Sabah_Voters_GE15]]+Table14[[#This Row],[OA_Voters_GE15]]</f>
        <v>1143</v>
      </c>
      <c r="BO128" s="11">
        <f>Table14[[#This Row],[Base_Stock_GE15]]/Table14[[#This Row],[All_Voters_GE15]]</f>
        <v>0.45876864308601129</v>
      </c>
      <c r="BP128" s="14">
        <v>29685</v>
      </c>
      <c r="BQ128" s="10">
        <v>28248</v>
      </c>
      <c r="BR128" s="44">
        <v>13752</v>
      </c>
      <c r="BS128" s="10">
        <v>4331</v>
      </c>
      <c r="BT128" s="10">
        <v>46842</v>
      </c>
      <c r="BU128" s="10">
        <v>25662</v>
      </c>
      <c r="BV128" s="10">
        <v>18978</v>
      </c>
      <c r="BW128" s="10">
        <f t="shared" si="35"/>
        <v>51173</v>
      </c>
      <c r="BX128" s="10">
        <f t="shared" si="36"/>
        <v>44640</v>
      </c>
      <c r="BY128" s="14">
        <v>96656</v>
      </c>
      <c r="BZ128" s="14">
        <v>0</v>
      </c>
      <c r="CA128" s="14">
        <v>341</v>
      </c>
      <c r="CB128" s="14">
        <v>96315</v>
      </c>
      <c r="CC128" s="14">
        <v>62376</v>
      </c>
      <c r="CD128" s="14">
        <v>20631</v>
      </c>
      <c r="CE128" s="14">
        <v>12405</v>
      </c>
      <c r="CF128" s="14">
        <v>917</v>
      </c>
      <c r="CG128" s="14">
        <v>119</v>
      </c>
      <c r="CH128" s="14">
        <v>77</v>
      </c>
      <c r="CI128" s="14">
        <v>131</v>
      </c>
      <c r="CJ128" s="14">
        <f t="shared" si="37"/>
        <v>1244</v>
      </c>
      <c r="CK128" s="14">
        <v>47143</v>
      </c>
      <c r="CL128" s="14">
        <v>49513</v>
      </c>
      <c r="CM128" s="14">
        <v>45795</v>
      </c>
      <c r="CN128" s="11">
        <f t="shared" si="38"/>
        <v>0.47379365999006789</v>
      </c>
      <c r="CO128" s="14">
        <v>50861</v>
      </c>
      <c r="CP128" s="11">
        <f t="shared" si="39"/>
        <v>0.52620634000993216</v>
      </c>
      <c r="CQ128" s="29">
        <v>507</v>
      </c>
      <c r="CR128" s="29">
        <v>5303</v>
      </c>
      <c r="CS128" s="29">
        <v>4243</v>
      </c>
      <c r="CT128" s="29">
        <v>3164</v>
      </c>
      <c r="CU128" s="47">
        <v>2306</v>
      </c>
      <c r="CV128" s="47">
        <v>916</v>
      </c>
      <c r="CW128" s="47">
        <v>1102</v>
      </c>
      <c r="CX128" s="47">
        <v>238</v>
      </c>
      <c r="CY128" s="47">
        <v>50</v>
      </c>
      <c r="CZ128" s="47">
        <v>16</v>
      </c>
      <c r="DA128" s="47">
        <v>16</v>
      </c>
      <c r="DB128" s="47">
        <v>15</v>
      </c>
      <c r="DC128" s="47">
        <v>13</v>
      </c>
    </row>
    <row r="129" spans="1:107" x14ac:dyDescent="0.35">
      <c r="A129" s="1" t="s">
        <v>875</v>
      </c>
      <c r="B129" s="5" t="s">
        <v>0</v>
      </c>
      <c r="C129" s="3" t="s">
        <v>889</v>
      </c>
      <c r="D129" s="4" t="s">
        <v>890</v>
      </c>
      <c r="E129" s="5">
        <v>6</v>
      </c>
      <c r="F129" s="5">
        <v>41</v>
      </c>
      <c r="G129" s="2">
        <v>0.79321945511434455</v>
      </c>
      <c r="H129" s="2" t="s">
        <v>1276</v>
      </c>
      <c r="I129" s="17" t="s">
        <v>121</v>
      </c>
      <c r="J12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LOKE SIEW FOOK </v>
      </c>
      <c r="K129" s="8">
        <v>24584</v>
      </c>
      <c r="L129" s="8" t="s">
        <v>77</v>
      </c>
      <c r="M129" s="7" t="s">
        <v>892</v>
      </c>
      <c r="N129" s="8">
        <v>63916</v>
      </c>
      <c r="O129" s="8" t="s">
        <v>102</v>
      </c>
      <c r="P129" s="7" t="s">
        <v>891</v>
      </c>
      <c r="Q129" s="8">
        <v>33075</v>
      </c>
      <c r="R129" s="8" t="s">
        <v>12</v>
      </c>
      <c r="S129" s="7" t="s">
        <v>893</v>
      </c>
      <c r="T129" s="10">
        <v>30841</v>
      </c>
      <c r="U129" s="10">
        <v>0</v>
      </c>
      <c r="V129" s="10">
        <v>1</v>
      </c>
      <c r="W129" s="10">
        <v>0</v>
      </c>
      <c r="X129" s="10">
        <v>36901</v>
      </c>
      <c r="Y129" s="12" t="s">
        <v>319</v>
      </c>
      <c r="Z129" s="12" t="s">
        <v>1277</v>
      </c>
      <c r="AA129" s="13" t="s">
        <v>894</v>
      </c>
      <c r="AB129" s="14">
        <v>30694</v>
      </c>
      <c r="AC129" s="15" t="s">
        <v>97</v>
      </c>
      <c r="AD129" s="16">
        <v>47991</v>
      </c>
      <c r="AE129" s="14">
        <v>24809</v>
      </c>
      <c r="AF129" s="14">
        <v>11506</v>
      </c>
      <c r="AG129" s="14">
        <v>55503</v>
      </c>
      <c r="AH129" s="14" t="s">
        <v>82</v>
      </c>
      <c r="AI129" s="15" t="s">
        <v>321</v>
      </c>
      <c r="AJ129" s="14">
        <v>0</v>
      </c>
      <c r="AK129" s="14">
        <v>1</v>
      </c>
      <c r="AL129" s="14">
        <v>0</v>
      </c>
      <c r="AM129" s="51">
        <v>110168</v>
      </c>
      <c r="AN129" s="51">
        <v>53322</v>
      </c>
      <c r="AO129" s="51">
        <v>40492</v>
      </c>
      <c r="AP129" s="51">
        <v>14772</v>
      </c>
      <c r="AQ129" s="51">
        <v>462</v>
      </c>
      <c r="AR129" s="51">
        <v>224</v>
      </c>
      <c r="AS129" s="51">
        <v>121</v>
      </c>
      <c r="AT129" s="51">
        <v>775</v>
      </c>
      <c r="AU129" s="51">
        <v>54204</v>
      </c>
      <c r="AV129" s="51">
        <v>55964</v>
      </c>
      <c r="AW129" s="51">
        <v>39900</v>
      </c>
      <c r="AX129" s="51">
        <v>70268</v>
      </c>
      <c r="AY129" s="14">
        <v>28968.666666666668</v>
      </c>
      <c r="AZ129" s="14">
        <v>157244</v>
      </c>
      <c r="BA129" s="14">
        <v>43</v>
      </c>
      <c r="BB129" s="14">
        <v>1580</v>
      </c>
      <c r="BC129" s="14">
        <v>155621</v>
      </c>
      <c r="BD129" s="14">
        <v>82595</v>
      </c>
      <c r="BE129" s="11">
        <f>Table14[[#This Row],[Melayu_Voters_GE15]]/Table14[[#This Row],[All_Voters_GE15]]</f>
        <v>0.52526646485716466</v>
      </c>
      <c r="BF129" s="14">
        <v>49862</v>
      </c>
      <c r="BG129" s="11">
        <f>Table14[[#This Row],[Chinese_Voters_GE15]]/Table14[[#This Row],[All_Voters_GE15]]</f>
        <v>0.31709953956907738</v>
      </c>
      <c r="BH129" s="14">
        <v>22119</v>
      </c>
      <c r="BI129" s="11">
        <f>Table14[[#This Row],[India_Voters_GE15]]/Table14[[#This Row],[All_Voters_GE15]]</f>
        <v>0.1406667345017934</v>
      </c>
      <c r="BJ129" s="14">
        <v>1258</v>
      </c>
      <c r="BK129" s="14">
        <v>593</v>
      </c>
      <c r="BL129" s="14">
        <v>352</v>
      </c>
      <c r="BM129" s="14">
        <v>465</v>
      </c>
      <c r="BN129" s="14">
        <f>Table14[[#This Row],[Lain_Voters_GE15]]+Table14[[#This Row],[Swak_Voters_GE15]]+Table14[[#This Row],[Sabah_Voters_GE15]]+Table14[[#This Row],[OA_Voters_GE15]]</f>
        <v>2668</v>
      </c>
      <c r="BO129" s="11">
        <f>Table14[[#This Row],[Base_Stock_GE15]]/Table14[[#This Row],[All_Voters_GE15]]</f>
        <v>0.23467350105568416</v>
      </c>
      <c r="BP129" s="14">
        <v>26368</v>
      </c>
      <c r="BQ129" s="10">
        <v>51480</v>
      </c>
      <c r="BR129" s="44">
        <v>28219</v>
      </c>
      <c r="BS129" s="10">
        <v>9541</v>
      </c>
      <c r="BT129" s="10">
        <v>68829</v>
      </c>
      <c r="BU129" s="10">
        <v>48977</v>
      </c>
      <c r="BV129" s="10">
        <v>29897</v>
      </c>
      <c r="BW129" s="10">
        <f t="shared" si="35"/>
        <v>78370</v>
      </c>
      <c r="BX129" s="10">
        <f t="shared" si="36"/>
        <v>78874</v>
      </c>
      <c r="BY129" s="14">
        <v>165668</v>
      </c>
      <c r="BZ129" s="14">
        <v>0</v>
      </c>
      <c r="CA129" s="14">
        <v>1620</v>
      </c>
      <c r="CB129" s="14">
        <v>164048</v>
      </c>
      <c r="CC129" s="14">
        <v>90066</v>
      </c>
      <c r="CD129" s="14">
        <v>49774</v>
      </c>
      <c r="CE129" s="14">
        <v>22795</v>
      </c>
      <c r="CF129" s="14">
        <v>1359</v>
      </c>
      <c r="CG129" s="14">
        <v>716</v>
      </c>
      <c r="CH129" s="14">
        <v>415</v>
      </c>
      <c r="CI129" s="14">
        <v>543</v>
      </c>
      <c r="CJ129" s="14">
        <f t="shared" si="37"/>
        <v>3033</v>
      </c>
      <c r="CK129" s="14">
        <v>82237</v>
      </c>
      <c r="CL129" s="14">
        <v>83431</v>
      </c>
      <c r="CM129" s="14">
        <v>78128</v>
      </c>
      <c r="CN129" s="11">
        <f t="shared" si="38"/>
        <v>0.47159378998961776</v>
      </c>
      <c r="CO129" s="14">
        <v>87540</v>
      </c>
      <c r="CP129" s="11">
        <f t="shared" si="39"/>
        <v>0.52840621001038224</v>
      </c>
      <c r="CQ129" s="29">
        <v>1001</v>
      </c>
      <c r="CR129" s="29">
        <v>10393</v>
      </c>
      <c r="CS129" s="29">
        <v>8241</v>
      </c>
      <c r="CT129" s="29">
        <v>6205</v>
      </c>
      <c r="CU129" s="47">
        <v>2925</v>
      </c>
      <c r="CV129" s="47">
        <v>957</v>
      </c>
      <c r="CW129" s="47">
        <v>1282</v>
      </c>
      <c r="CX129" s="47">
        <v>462</v>
      </c>
      <c r="CY129" s="47">
        <v>224</v>
      </c>
      <c r="CZ129" s="47">
        <v>11</v>
      </c>
      <c r="DA129" s="47">
        <v>11</v>
      </c>
      <c r="DB129" s="47">
        <v>11</v>
      </c>
      <c r="DC129" s="47">
        <v>11</v>
      </c>
    </row>
    <row r="130" spans="1:107" x14ac:dyDescent="0.35">
      <c r="A130" s="1" t="s">
        <v>875</v>
      </c>
      <c r="B130" s="5" t="s">
        <v>0</v>
      </c>
      <c r="C130" s="3" t="s">
        <v>895</v>
      </c>
      <c r="D130" s="4" t="s">
        <v>896</v>
      </c>
      <c r="E130" s="5">
        <v>5</v>
      </c>
      <c r="F130" s="5">
        <v>55</v>
      </c>
      <c r="G130" s="2">
        <v>0.77916739133871959</v>
      </c>
      <c r="H130" s="2" t="s">
        <v>1276</v>
      </c>
      <c r="I130" s="21" t="s">
        <v>403</v>
      </c>
      <c r="J13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HJ ADNAN HJ ABU HASSAN </v>
      </c>
      <c r="K130" s="8">
        <v>21423</v>
      </c>
      <c r="L130" s="8" t="s">
        <v>8</v>
      </c>
      <c r="M130" s="7" t="s">
        <v>897</v>
      </c>
      <c r="N130" s="8">
        <v>14940</v>
      </c>
      <c r="O130" s="8" t="s">
        <v>23</v>
      </c>
      <c r="P130" s="7" t="s">
        <v>898</v>
      </c>
      <c r="Q130" s="8">
        <v>11560</v>
      </c>
      <c r="R130" s="8" t="s">
        <v>25</v>
      </c>
      <c r="S130" s="7" t="s">
        <v>899</v>
      </c>
      <c r="T130" s="10">
        <v>6483</v>
      </c>
      <c r="U130" s="10">
        <v>1</v>
      </c>
      <c r="V130" s="10">
        <v>0</v>
      </c>
      <c r="W130" s="10">
        <v>0</v>
      </c>
      <c r="X130" s="10">
        <v>29514</v>
      </c>
      <c r="Y130" s="12" t="s">
        <v>43</v>
      </c>
      <c r="Z130" s="12" t="s">
        <v>1277</v>
      </c>
      <c r="AA130" s="13" t="s">
        <v>900</v>
      </c>
      <c r="AB130" s="14">
        <v>200</v>
      </c>
      <c r="AC130" s="15" t="s">
        <v>45</v>
      </c>
      <c r="AD130" s="16">
        <v>29940</v>
      </c>
      <c r="AE130" s="14">
        <v>17845</v>
      </c>
      <c r="AF130" s="14">
        <v>4347</v>
      </c>
      <c r="AG130" s="14">
        <v>18045</v>
      </c>
      <c r="AH130" s="14" t="s">
        <v>17</v>
      </c>
      <c r="AI130" s="15" t="s">
        <v>18</v>
      </c>
      <c r="AJ130" s="14">
        <v>0</v>
      </c>
      <c r="AK130" s="14">
        <v>1</v>
      </c>
      <c r="AL130" s="14">
        <v>0</v>
      </c>
      <c r="AM130" s="51">
        <v>49801</v>
      </c>
      <c r="AN130" s="51">
        <v>38359</v>
      </c>
      <c r="AO130" s="51">
        <v>7889</v>
      </c>
      <c r="AP130" s="51">
        <v>2431</v>
      </c>
      <c r="AQ130" s="51">
        <v>101</v>
      </c>
      <c r="AR130" s="51">
        <v>40</v>
      </c>
      <c r="AS130" s="51">
        <v>38</v>
      </c>
      <c r="AT130" s="51">
        <v>943</v>
      </c>
      <c r="AU130" s="51">
        <v>24147</v>
      </c>
      <c r="AV130" s="51">
        <v>25654</v>
      </c>
      <c r="AW130" s="51">
        <v>17067</v>
      </c>
      <c r="AX130" s="51">
        <v>32734</v>
      </c>
      <c r="AY130" s="14">
        <v>20923</v>
      </c>
      <c r="AZ130" s="14">
        <v>63247</v>
      </c>
      <c r="BA130" s="14">
        <v>10</v>
      </c>
      <c r="BB130" s="14">
        <v>362</v>
      </c>
      <c r="BC130" s="14">
        <v>62875</v>
      </c>
      <c r="BD130" s="14">
        <v>48425</v>
      </c>
      <c r="BE130" s="11">
        <f>Table14[[#This Row],[Melayu_Voters_GE15]]/Table14[[#This Row],[All_Voters_GE15]]</f>
        <v>0.76564896358720569</v>
      </c>
      <c r="BF130" s="14">
        <v>9847</v>
      </c>
      <c r="BG130" s="11">
        <f>Table14[[#This Row],[Chinese_Voters_GE15]]/Table14[[#This Row],[All_Voters_GE15]]</f>
        <v>0.1556911790282543</v>
      </c>
      <c r="BH130" s="14">
        <v>3343</v>
      </c>
      <c r="BI130" s="11">
        <f>Table14[[#This Row],[India_Voters_GE15]]/Table14[[#This Row],[All_Voters_GE15]]</f>
        <v>5.2856261957088875E-2</v>
      </c>
      <c r="BJ130" s="14">
        <v>1393</v>
      </c>
      <c r="BK130" s="14">
        <v>81</v>
      </c>
      <c r="BL130" s="14">
        <v>64</v>
      </c>
      <c r="BM130" s="14">
        <v>94</v>
      </c>
      <c r="BN130" s="14">
        <f>Table14[[#This Row],[Lain_Voters_GE15]]+Table14[[#This Row],[Swak_Voters_GE15]]+Table14[[#This Row],[Sabah_Voters_GE15]]+Table14[[#This Row],[OA_Voters_GE15]]</f>
        <v>1632</v>
      </c>
      <c r="BO130" s="11">
        <f>Table14[[#This Row],[Base_Stock_GE15]]/Table14[[#This Row],[All_Voters_GE15]]</f>
        <v>0.46664663936629408</v>
      </c>
      <c r="BP130" s="14">
        <v>22573</v>
      </c>
      <c r="BQ130" s="10">
        <v>16922</v>
      </c>
      <c r="BR130" s="44">
        <v>9006</v>
      </c>
      <c r="BS130" s="10">
        <v>2889</v>
      </c>
      <c r="BT130" s="10">
        <v>25882</v>
      </c>
      <c r="BU130" s="10">
        <v>20171</v>
      </c>
      <c r="BV130" s="10">
        <v>14305</v>
      </c>
      <c r="BW130" s="10">
        <f t="shared" si="35"/>
        <v>28771</v>
      </c>
      <c r="BX130" s="10">
        <f t="shared" si="36"/>
        <v>34476</v>
      </c>
      <c r="BY130" s="14">
        <v>64014</v>
      </c>
      <c r="BZ130" s="14">
        <v>0</v>
      </c>
      <c r="CA130" s="14">
        <v>293</v>
      </c>
      <c r="CB130" s="14">
        <v>63721</v>
      </c>
      <c r="CC130" s="14">
        <v>49345</v>
      </c>
      <c r="CD130" s="14">
        <v>9568</v>
      </c>
      <c r="CE130" s="14">
        <v>3363</v>
      </c>
      <c r="CF130" s="14">
        <v>1457</v>
      </c>
      <c r="CG130" s="14">
        <v>99</v>
      </c>
      <c r="CH130" s="14">
        <v>70</v>
      </c>
      <c r="CI130" s="14">
        <v>112</v>
      </c>
      <c r="CJ130" s="14">
        <f t="shared" si="37"/>
        <v>1738</v>
      </c>
      <c r="CK130" s="14">
        <v>31656</v>
      </c>
      <c r="CL130" s="14">
        <v>32358</v>
      </c>
      <c r="CM130" s="14">
        <v>26909</v>
      </c>
      <c r="CN130" s="11">
        <f t="shared" si="38"/>
        <v>0.42036117099384512</v>
      </c>
      <c r="CO130" s="14">
        <v>37105</v>
      </c>
      <c r="CP130" s="11">
        <f t="shared" si="39"/>
        <v>0.57963882900615493</v>
      </c>
      <c r="CQ130" s="29">
        <v>734</v>
      </c>
      <c r="CR130" s="29">
        <v>8334</v>
      </c>
      <c r="CS130" s="29">
        <v>6971</v>
      </c>
      <c r="CT130" s="29">
        <v>5219</v>
      </c>
      <c r="CU130" s="47">
        <v>3057</v>
      </c>
      <c r="CV130" s="47">
        <v>1037</v>
      </c>
      <c r="CW130" s="47">
        <v>1285</v>
      </c>
      <c r="CX130" s="47">
        <v>549</v>
      </c>
      <c r="CY130" s="47">
        <v>186</v>
      </c>
      <c r="CZ130" s="47">
        <v>23</v>
      </c>
      <c r="DA130" s="47">
        <v>23</v>
      </c>
      <c r="DB130" s="47">
        <v>23</v>
      </c>
      <c r="DC130" s="47">
        <v>22</v>
      </c>
    </row>
    <row r="131" spans="1:107" x14ac:dyDescent="0.35">
      <c r="A131" s="1" t="s">
        <v>875</v>
      </c>
      <c r="B131" s="5" t="s">
        <v>0</v>
      </c>
      <c r="C131" s="3" t="s">
        <v>901</v>
      </c>
      <c r="D131" s="4" t="s">
        <v>902</v>
      </c>
      <c r="E131" s="5">
        <v>5</v>
      </c>
      <c r="F131" s="5">
        <v>35</v>
      </c>
      <c r="G131" s="2">
        <v>0.77569661825832603</v>
      </c>
      <c r="H131" s="2" t="s">
        <v>1276</v>
      </c>
      <c r="I131" s="17" t="s">
        <v>121</v>
      </c>
      <c r="J13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CHA KEE CHIN </v>
      </c>
      <c r="K131" s="8">
        <v>19447</v>
      </c>
      <c r="L131" s="8" t="s">
        <v>77</v>
      </c>
      <c r="M131" s="7" t="s">
        <v>904</v>
      </c>
      <c r="N131" s="8">
        <v>81434</v>
      </c>
      <c r="O131" s="8" t="s">
        <v>102</v>
      </c>
      <c r="P131" s="7" t="s">
        <v>903</v>
      </c>
      <c r="Q131" s="8">
        <v>18810</v>
      </c>
      <c r="R131" s="8" t="s">
        <v>370</v>
      </c>
      <c r="S131" s="7" t="s">
        <v>905</v>
      </c>
      <c r="T131" s="10">
        <v>61987</v>
      </c>
      <c r="U131" s="10">
        <v>0</v>
      </c>
      <c r="V131" s="10">
        <v>1</v>
      </c>
      <c r="W131" s="10">
        <v>0</v>
      </c>
      <c r="X131" s="10">
        <v>25255</v>
      </c>
      <c r="Y131" s="12" t="s">
        <v>319</v>
      </c>
      <c r="Z131" s="12" t="s">
        <v>1277</v>
      </c>
      <c r="AA131" s="13" t="s">
        <v>906</v>
      </c>
      <c r="AB131" s="14">
        <v>46867</v>
      </c>
      <c r="AC131" s="15" t="s">
        <v>907</v>
      </c>
      <c r="AD131" s="16">
        <v>37775</v>
      </c>
      <c r="AE131" s="14">
        <v>14939</v>
      </c>
      <c r="AF131" s="14">
        <v>8260</v>
      </c>
      <c r="AG131" s="14">
        <v>61806</v>
      </c>
      <c r="AH131" s="14" t="s">
        <v>82</v>
      </c>
      <c r="AI131" s="15" t="s">
        <v>321</v>
      </c>
      <c r="AJ131" s="14">
        <v>0</v>
      </c>
      <c r="AK131" s="14">
        <v>1</v>
      </c>
      <c r="AL131" s="14">
        <v>0</v>
      </c>
      <c r="AM131" s="51">
        <v>102838</v>
      </c>
      <c r="AN131" s="51">
        <v>30499</v>
      </c>
      <c r="AO131" s="51">
        <v>49147</v>
      </c>
      <c r="AP131" s="51">
        <v>21882</v>
      </c>
      <c r="AQ131" s="51">
        <v>488</v>
      </c>
      <c r="AR131" s="51">
        <v>205</v>
      </c>
      <c r="AS131" s="51">
        <v>193</v>
      </c>
      <c r="AT131" s="51">
        <v>424</v>
      </c>
      <c r="AU131" s="51">
        <v>50383</v>
      </c>
      <c r="AV131" s="51">
        <v>52455</v>
      </c>
      <c r="AW131" s="51">
        <v>36900</v>
      </c>
      <c r="AX131" s="51">
        <v>65938</v>
      </c>
      <c r="AY131" s="14">
        <v>20512.666666666668</v>
      </c>
      <c r="AZ131" s="14">
        <v>155896</v>
      </c>
      <c r="BA131" s="14">
        <v>36</v>
      </c>
      <c r="BB131" s="14">
        <v>2337</v>
      </c>
      <c r="BC131" s="14">
        <v>153523</v>
      </c>
      <c r="BD131" s="14">
        <v>52002</v>
      </c>
      <c r="BE131" s="11">
        <f>Table14[[#This Row],[Melayu_Voters_GE15]]/Table14[[#This Row],[All_Voters_GE15]]</f>
        <v>0.33356853286806587</v>
      </c>
      <c r="BF131" s="14">
        <v>66044</v>
      </c>
      <c r="BG131" s="11">
        <f>Table14[[#This Row],[Chinese_Voters_GE15]]/Table14[[#This Row],[All_Voters_GE15]]</f>
        <v>0.42364140196028122</v>
      </c>
      <c r="BH131" s="14">
        <v>35536</v>
      </c>
      <c r="BI131" s="11">
        <f>Table14[[#This Row],[India_Voters_GE15]]/Table14[[#This Row],[All_Voters_GE15]]</f>
        <v>0.22794683635244009</v>
      </c>
      <c r="BJ131" s="14">
        <v>611</v>
      </c>
      <c r="BK131" s="14">
        <v>561</v>
      </c>
      <c r="BL131" s="14">
        <v>452</v>
      </c>
      <c r="BM131" s="14">
        <v>690</v>
      </c>
      <c r="BN131" s="14">
        <f>Table14[[#This Row],[Lain_Voters_GE15]]+Table14[[#This Row],[Swak_Voters_GE15]]+Table14[[#This Row],[Sabah_Voters_GE15]]+Table14[[#This Row],[OA_Voters_GE15]]</f>
        <v>2314</v>
      </c>
      <c r="BO131" s="11">
        <f>Table14[[#This Row],[Base_Stock_GE15]]/Table14[[#This Row],[All_Voters_GE15]]</f>
        <v>0.16199902499101965</v>
      </c>
      <c r="BP131" s="14">
        <v>14729</v>
      </c>
      <c r="BQ131" s="10">
        <v>56079</v>
      </c>
      <c r="BR131" s="44">
        <v>29651</v>
      </c>
      <c r="BS131" s="10">
        <v>9888</v>
      </c>
      <c r="BT131" s="10">
        <v>69518</v>
      </c>
      <c r="BU131" s="10">
        <v>47964</v>
      </c>
      <c r="BV131" s="10">
        <v>28526</v>
      </c>
      <c r="BW131" s="10">
        <f t="shared" si="35"/>
        <v>79406</v>
      </c>
      <c r="BX131" s="10">
        <f t="shared" si="36"/>
        <v>76490</v>
      </c>
      <c r="BY131" s="14">
        <v>164886</v>
      </c>
      <c r="BZ131" s="14">
        <v>0</v>
      </c>
      <c r="CA131" s="14">
        <v>2065</v>
      </c>
      <c r="CB131" s="14">
        <v>162821</v>
      </c>
      <c r="CC131" s="14">
        <v>57459</v>
      </c>
      <c r="CD131" s="14">
        <v>67681</v>
      </c>
      <c r="CE131" s="14">
        <v>37224</v>
      </c>
      <c r="CF131" s="14">
        <v>644</v>
      </c>
      <c r="CG131" s="14">
        <v>605</v>
      </c>
      <c r="CH131" s="14">
        <v>487</v>
      </c>
      <c r="CI131" s="14">
        <v>786</v>
      </c>
      <c r="CJ131" s="14">
        <f t="shared" si="37"/>
        <v>2522</v>
      </c>
      <c r="CK131" s="14">
        <v>81271</v>
      </c>
      <c r="CL131" s="14">
        <v>83615</v>
      </c>
      <c r="CM131" s="14">
        <v>79367</v>
      </c>
      <c r="CN131" s="11">
        <f t="shared" si="38"/>
        <v>0.48134468663197605</v>
      </c>
      <c r="CO131" s="14">
        <v>85519</v>
      </c>
      <c r="CP131" s="11">
        <f t="shared" si="39"/>
        <v>0.51865531336802395</v>
      </c>
      <c r="CQ131" s="29">
        <v>379</v>
      </c>
      <c r="CR131" s="29">
        <v>4716</v>
      </c>
      <c r="CS131" s="29">
        <v>4321</v>
      </c>
      <c r="CT131" s="29">
        <v>2905</v>
      </c>
      <c r="CU131" s="47">
        <v>4731</v>
      </c>
      <c r="CV131" s="47">
        <v>1888</v>
      </c>
      <c r="CW131" s="47">
        <v>2156</v>
      </c>
      <c r="CX131" s="47">
        <v>544</v>
      </c>
      <c r="CY131" s="47">
        <v>143</v>
      </c>
      <c r="CZ131" s="47">
        <v>28</v>
      </c>
      <c r="DA131" s="47">
        <v>28</v>
      </c>
      <c r="DB131" s="47">
        <v>28</v>
      </c>
      <c r="DC131" s="47">
        <v>24</v>
      </c>
    </row>
    <row r="132" spans="1:107" x14ac:dyDescent="0.35">
      <c r="A132" s="1" t="s">
        <v>875</v>
      </c>
      <c r="B132" s="5" t="s">
        <v>0</v>
      </c>
      <c r="C132" s="3" t="s">
        <v>908</v>
      </c>
      <c r="D132" s="4" t="s">
        <v>909</v>
      </c>
      <c r="E132" s="5">
        <v>4</v>
      </c>
      <c r="F132" s="5">
        <v>51</v>
      </c>
      <c r="G132" s="2">
        <v>0.82801841937778442</v>
      </c>
      <c r="H132" s="2" t="s">
        <v>1276</v>
      </c>
      <c r="I132" s="21" t="s">
        <v>403</v>
      </c>
      <c r="J13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TOK MAT </v>
      </c>
      <c r="K132" s="8">
        <v>53075</v>
      </c>
      <c r="L132" s="8" t="s">
        <v>8</v>
      </c>
      <c r="M132" s="7" t="s">
        <v>910</v>
      </c>
      <c r="N132" s="8">
        <v>33178</v>
      </c>
      <c r="O132" s="8" t="s">
        <v>23</v>
      </c>
      <c r="P132" s="7" t="s">
        <v>911</v>
      </c>
      <c r="Q132" s="8">
        <v>21875</v>
      </c>
      <c r="R132" s="8" t="s">
        <v>25</v>
      </c>
      <c r="S132" s="7" t="s">
        <v>912</v>
      </c>
      <c r="T132" s="10">
        <v>19897</v>
      </c>
      <c r="U132" s="10">
        <v>1</v>
      </c>
      <c r="V132" s="10">
        <v>0</v>
      </c>
      <c r="W132" s="10">
        <v>0</v>
      </c>
      <c r="X132" s="10">
        <v>60908</v>
      </c>
      <c r="Y132" s="12" t="s">
        <v>14</v>
      </c>
      <c r="Z132" s="12" t="s">
        <v>1277</v>
      </c>
      <c r="AA132" s="13" t="s">
        <v>913</v>
      </c>
      <c r="AB132" s="14">
        <v>4364</v>
      </c>
      <c r="AC132" s="15" t="s">
        <v>914</v>
      </c>
      <c r="AD132" s="16">
        <v>51774</v>
      </c>
      <c r="AE132" s="14">
        <v>36096</v>
      </c>
      <c r="AF132" s="14">
        <v>6028</v>
      </c>
      <c r="AG132" s="14">
        <v>31732</v>
      </c>
      <c r="AH132" s="14" t="s">
        <v>17</v>
      </c>
      <c r="AI132" s="15" t="s">
        <v>29</v>
      </c>
      <c r="AJ132" s="14">
        <v>1</v>
      </c>
      <c r="AK132" s="14">
        <v>0</v>
      </c>
      <c r="AL132" s="14">
        <v>0</v>
      </c>
      <c r="AM132" s="51">
        <v>88365</v>
      </c>
      <c r="AN132" s="51">
        <v>64798</v>
      </c>
      <c r="AO132" s="51">
        <v>9109</v>
      </c>
      <c r="AP132" s="51">
        <v>13666</v>
      </c>
      <c r="AQ132" s="51">
        <v>238</v>
      </c>
      <c r="AR132" s="51">
        <v>130</v>
      </c>
      <c r="AS132" s="51">
        <v>79</v>
      </c>
      <c r="AT132" s="51">
        <v>345</v>
      </c>
      <c r="AU132" s="51">
        <v>42713</v>
      </c>
      <c r="AV132" s="51">
        <v>45652</v>
      </c>
      <c r="AW132" s="51">
        <v>35275</v>
      </c>
      <c r="AX132" s="51">
        <v>53090</v>
      </c>
      <c r="AY132" s="14">
        <v>35224.666666666664</v>
      </c>
      <c r="AZ132" s="14">
        <v>133555</v>
      </c>
      <c r="BA132" s="14">
        <v>30</v>
      </c>
      <c r="BB132" s="14">
        <v>2217</v>
      </c>
      <c r="BC132" s="14">
        <v>131308</v>
      </c>
      <c r="BD132" s="14">
        <v>99188</v>
      </c>
      <c r="BE132" s="11">
        <f>Table14[[#This Row],[Melayu_Voters_GE15]]/Table14[[#This Row],[All_Voters_GE15]]</f>
        <v>0.74267530230990975</v>
      </c>
      <c r="BF132" s="14">
        <v>11703</v>
      </c>
      <c r="BG132" s="11">
        <f>Table14[[#This Row],[Chinese_Voters_GE15]]/Table14[[#This Row],[All_Voters_GE15]]</f>
        <v>8.7626820411066605E-2</v>
      </c>
      <c r="BH132" s="14">
        <v>21376</v>
      </c>
      <c r="BI132" s="11">
        <f>Table14[[#This Row],[India_Voters_GE15]]/Table14[[#This Row],[All_Voters_GE15]]</f>
        <v>0.16005391037400321</v>
      </c>
      <c r="BJ132" s="14">
        <v>550</v>
      </c>
      <c r="BK132" s="14">
        <v>328</v>
      </c>
      <c r="BL132" s="14">
        <v>224</v>
      </c>
      <c r="BM132" s="14">
        <v>186</v>
      </c>
      <c r="BN132" s="14">
        <f>Table14[[#This Row],[Lain_Voters_GE15]]+Table14[[#This Row],[Swak_Voters_GE15]]+Table14[[#This Row],[Sabah_Voters_GE15]]+Table14[[#This Row],[OA_Voters_GE15]]</f>
        <v>1288</v>
      </c>
      <c r="BO132" s="11">
        <f>Table14[[#This Row],[Base_Stock_GE15]]/Table14[[#This Row],[All_Voters_GE15]]</f>
        <v>0.45605181385945864</v>
      </c>
      <c r="BP132" s="14">
        <v>49334</v>
      </c>
      <c r="BQ132" s="10">
        <v>46408</v>
      </c>
      <c r="BR132" s="44">
        <v>27332</v>
      </c>
      <c r="BS132" s="10">
        <v>9081</v>
      </c>
      <c r="BT132" s="10">
        <v>64167</v>
      </c>
      <c r="BU132" s="10">
        <v>39615</v>
      </c>
      <c r="BV132" s="10">
        <v>20692</v>
      </c>
      <c r="BW132" s="10">
        <f t="shared" si="35"/>
        <v>73248</v>
      </c>
      <c r="BX132" s="10">
        <f t="shared" si="36"/>
        <v>60307</v>
      </c>
      <c r="BY132" s="14">
        <v>142621</v>
      </c>
      <c r="BZ132" s="14">
        <v>0</v>
      </c>
      <c r="CA132" s="14">
        <v>2329</v>
      </c>
      <c r="CB132" s="14">
        <v>140292</v>
      </c>
      <c r="CC132" s="14">
        <v>106916</v>
      </c>
      <c r="CD132" s="14">
        <v>11707</v>
      </c>
      <c r="CE132" s="14">
        <v>22482</v>
      </c>
      <c r="CF132" s="14">
        <v>601</v>
      </c>
      <c r="CG132" s="14">
        <v>397</v>
      </c>
      <c r="CH132" s="14">
        <v>273</v>
      </c>
      <c r="CI132" s="14">
        <v>245</v>
      </c>
      <c r="CJ132" s="14">
        <f t="shared" si="37"/>
        <v>1516</v>
      </c>
      <c r="CK132" s="14">
        <v>70102</v>
      </c>
      <c r="CL132" s="14">
        <v>72519</v>
      </c>
      <c r="CM132" s="14">
        <v>74067</v>
      </c>
      <c r="CN132" s="11">
        <f t="shared" si="38"/>
        <v>0.51932744827199362</v>
      </c>
      <c r="CO132" s="14">
        <v>68554</v>
      </c>
      <c r="CP132" s="11">
        <f t="shared" si="39"/>
        <v>0.48067255172800638</v>
      </c>
      <c r="CQ132" s="29">
        <v>1458</v>
      </c>
      <c r="CR132" s="29">
        <v>15157</v>
      </c>
      <c r="CS132" s="29">
        <v>10194</v>
      </c>
      <c r="CT132" s="29">
        <v>5657</v>
      </c>
      <c r="CU132" s="47">
        <v>1743</v>
      </c>
      <c r="CV132" s="47">
        <v>531</v>
      </c>
      <c r="CW132" s="47">
        <v>773</v>
      </c>
      <c r="CX132" s="47">
        <v>290</v>
      </c>
      <c r="CY132" s="47">
        <v>149</v>
      </c>
      <c r="CZ132" s="47">
        <v>12</v>
      </c>
      <c r="DA132" s="47">
        <v>12</v>
      </c>
      <c r="DB132" s="47">
        <v>12</v>
      </c>
      <c r="DC132" s="47">
        <v>12</v>
      </c>
    </row>
    <row r="133" spans="1:107" x14ac:dyDescent="0.35">
      <c r="A133" s="1" t="s">
        <v>875</v>
      </c>
      <c r="B133" s="5" t="s">
        <v>0</v>
      </c>
      <c r="C133" s="3" t="s">
        <v>915</v>
      </c>
      <c r="D133" s="4" t="s">
        <v>916</v>
      </c>
      <c r="E133" s="5">
        <v>5</v>
      </c>
      <c r="F133" s="5">
        <v>32</v>
      </c>
      <c r="G133" s="2">
        <v>0.77966491144088079</v>
      </c>
      <c r="H133" s="2" t="s">
        <v>1276</v>
      </c>
      <c r="I133" s="17" t="s">
        <v>121</v>
      </c>
      <c r="J13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SERI AMINUDDIN BIN HARUN </v>
      </c>
      <c r="K133" s="8">
        <v>18412</v>
      </c>
      <c r="L133" s="8" t="s">
        <v>137</v>
      </c>
      <c r="M133" s="7" t="s">
        <v>918</v>
      </c>
      <c r="N133" s="8">
        <v>42013</v>
      </c>
      <c r="O133" s="8" t="s">
        <v>23</v>
      </c>
      <c r="P133" s="7" t="s">
        <v>917</v>
      </c>
      <c r="Q133" s="8">
        <v>18235</v>
      </c>
      <c r="R133" s="8" t="s">
        <v>12</v>
      </c>
      <c r="S133" s="7" t="s">
        <v>919</v>
      </c>
      <c r="T133" s="10">
        <v>23601</v>
      </c>
      <c r="U133" s="10">
        <v>0</v>
      </c>
      <c r="V133" s="10">
        <v>1</v>
      </c>
      <c r="W133" s="10">
        <v>0</v>
      </c>
      <c r="X133" s="10">
        <v>35453</v>
      </c>
      <c r="Y133" s="12" t="s">
        <v>26</v>
      </c>
      <c r="Z133" s="12" t="s">
        <v>1277</v>
      </c>
      <c r="AA133" s="13" t="s">
        <v>920</v>
      </c>
      <c r="AB133" s="14">
        <v>17710</v>
      </c>
      <c r="AC133" s="15" t="s">
        <v>59</v>
      </c>
      <c r="AD133" s="16">
        <v>33565</v>
      </c>
      <c r="AE133" s="14">
        <v>18515</v>
      </c>
      <c r="AF133" s="14">
        <v>6594</v>
      </c>
      <c r="AG133" s="14">
        <v>36225</v>
      </c>
      <c r="AH133" s="14" t="s">
        <v>456</v>
      </c>
      <c r="AI133" s="15" t="s">
        <v>29</v>
      </c>
      <c r="AJ133" s="14">
        <v>0</v>
      </c>
      <c r="AK133" s="14">
        <v>1</v>
      </c>
      <c r="AL133" s="14">
        <v>0</v>
      </c>
      <c r="AM133" s="51">
        <v>75212</v>
      </c>
      <c r="AN133" s="51">
        <v>32111</v>
      </c>
      <c r="AO133" s="51">
        <v>24899</v>
      </c>
      <c r="AP133" s="51">
        <v>16568</v>
      </c>
      <c r="AQ133" s="51">
        <v>298</v>
      </c>
      <c r="AR133" s="51">
        <v>512</v>
      </c>
      <c r="AS133" s="51">
        <v>678</v>
      </c>
      <c r="AT133" s="51">
        <v>146</v>
      </c>
      <c r="AU133" s="51">
        <v>38006</v>
      </c>
      <c r="AV133" s="51">
        <v>37206</v>
      </c>
      <c r="AW133" s="51">
        <v>29130</v>
      </c>
      <c r="AX133" s="51">
        <v>46082</v>
      </c>
      <c r="AY133" s="14">
        <v>22442.666666666668</v>
      </c>
      <c r="AZ133" s="14">
        <v>104450</v>
      </c>
      <c r="BA133" s="14">
        <v>13</v>
      </c>
      <c r="BB133" s="14">
        <v>7379</v>
      </c>
      <c r="BC133" s="14">
        <v>97058</v>
      </c>
      <c r="BD133" s="14">
        <v>46895</v>
      </c>
      <c r="BE133" s="11">
        <f>Table14[[#This Row],[Melayu_Voters_GE15]]/Table14[[#This Row],[All_Voters_GE15]]</f>
        <v>0.44897079942556245</v>
      </c>
      <c r="BF133" s="14">
        <v>32840</v>
      </c>
      <c r="BG133" s="11">
        <f>Table14[[#This Row],[Chinese_Voters_GE15]]/Table14[[#This Row],[All_Voters_GE15]]</f>
        <v>0.3144088080421254</v>
      </c>
      <c r="BH133" s="14">
        <v>22130</v>
      </c>
      <c r="BI133" s="11">
        <f>Table14[[#This Row],[India_Voters_GE15]]/Table14[[#This Row],[All_Voters_GE15]]</f>
        <v>0.2118717089516515</v>
      </c>
      <c r="BJ133" s="14">
        <v>312</v>
      </c>
      <c r="BK133" s="14">
        <v>996</v>
      </c>
      <c r="BL133" s="14">
        <v>1002</v>
      </c>
      <c r="BM133" s="14">
        <v>275</v>
      </c>
      <c r="BN133" s="14">
        <f>Table14[[#This Row],[Lain_Voters_GE15]]+Table14[[#This Row],[Swak_Voters_GE15]]+Table14[[#This Row],[Sabah_Voters_GE15]]+Table14[[#This Row],[OA_Voters_GE15]]</f>
        <v>2585</v>
      </c>
      <c r="BO133" s="11">
        <f>Table14[[#This Row],[Base_Stock_GE15]]/Table14[[#This Row],[All_Voters_GE15]]</f>
        <v>0.33942556247008138</v>
      </c>
      <c r="BP133" s="14">
        <v>23734</v>
      </c>
      <c r="BQ133" s="10">
        <v>35189</v>
      </c>
      <c r="BR133" s="44">
        <v>18403</v>
      </c>
      <c r="BS133" s="10">
        <v>6263</v>
      </c>
      <c r="BT133" s="10">
        <v>47794</v>
      </c>
      <c r="BU133" s="10">
        <v>32138</v>
      </c>
      <c r="BV133" s="10">
        <v>18255</v>
      </c>
      <c r="BW133" s="10">
        <f t="shared" si="35"/>
        <v>54057</v>
      </c>
      <c r="BX133" s="10">
        <f t="shared" si="36"/>
        <v>50393</v>
      </c>
      <c r="BY133" s="14">
        <v>112558</v>
      </c>
      <c r="BZ133" s="14">
        <v>0</v>
      </c>
      <c r="CA133" s="14">
        <v>11323</v>
      </c>
      <c r="CB133" s="14">
        <v>101235</v>
      </c>
      <c r="CC133" s="14">
        <v>53320</v>
      </c>
      <c r="CD133" s="14">
        <v>33016</v>
      </c>
      <c r="CE133" s="14">
        <v>22296</v>
      </c>
      <c r="CF133" s="14">
        <v>338</v>
      </c>
      <c r="CG133" s="14">
        <v>1487</v>
      </c>
      <c r="CH133" s="14">
        <v>1655</v>
      </c>
      <c r="CI133" s="14">
        <v>446</v>
      </c>
      <c r="CJ133" s="14">
        <f t="shared" si="37"/>
        <v>3926</v>
      </c>
      <c r="CK133" s="14">
        <v>58956</v>
      </c>
      <c r="CL133" s="14">
        <v>53602</v>
      </c>
      <c r="CM133" s="14">
        <v>56636</v>
      </c>
      <c r="CN133" s="11">
        <f t="shared" si="38"/>
        <v>0.50317169814673324</v>
      </c>
      <c r="CO133" s="14">
        <v>55922</v>
      </c>
      <c r="CP133" s="11">
        <f t="shared" si="39"/>
        <v>0.49682830185326676</v>
      </c>
      <c r="CQ133" s="29">
        <v>566</v>
      </c>
      <c r="CR133" s="29">
        <v>6354</v>
      </c>
      <c r="CS133" s="29">
        <v>5583</v>
      </c>
      <c r="CT133" s="29">
        <v>4129</v>
      </c>
      <c r="CU133" s="47">
        <v>4514</v>
      </c>
      <c r="CV133" s="47">
        <v>1478</v>
      </c>
      <c r="CW133" s="47">
        <v>2184</v>
      </c>
      <c r="CX133" s="47">
        <v>576</v>
      </c>
      <c r="CY133" s="47">
        <v>276</v>
      </c>
      <c r="CZ133" s="47">
        <v>25</v>
      </c>
      <c r="DA133" s="47">
        <v>25</v>
      </c>
      <c r="DB133" s="47">
        <v>25</v>
      </c>
      <c r="DC133" s="47">
        <v>24</v>
      </c>
    </row>
    <row r="134" spans="1:107" x14ac:dyDescent="0.35">
      <c r="A134" s="1" t="s">
        <v>875</v>
      </c>
      <c r="B134" s="5" t="s">
        <v>0</v>
      </c>
      <c r="C134" s="3" t="s">
        <v>921</v>
      </c>
      <c r="D134" s="4" t="s">
        <v>922</v>
      </c>
      <c r="E134" s="5">
        <v>3</v>
      </c>
      <c r="F134" s="5">
        <v>30</v>
      </c>
      <c r="G134" s="2">
        <v>0.76400448834140988</v>
      </c>
      <c r="H134" s="2" t="s">
        <v>1276</v>
      </c>
      <c r="I134" s="21" t="s">
        <v>403</v>
      </c>
      <c r="J13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MOHD ISAM BIN MOHD ISA </v>
      </c>
      <c r="K134" s="8">
        <v>23283</v>
      </c>
      <c r="L134" s="8" t="s">
        <v>8</v>
      </c>
      <c r="M134" s="7" t="s">
        <v>923</v>
      </c>
      <c r="N134" s="8">
        <v>22007</v>
      </c>
      <c r="O134" s="8" t="s">
        <v>214</v>
      </c>
      <c r="P134" s="7" t="s">
        <v>924</v>
      </c>
      <c r="Q134" s="8">
        <v>14962</v>
      </c>
      <c r="R134" s="8" t="s">
        <v>12</v>
      </c>
      <c r="S134" s="7" t="s">
        <v>925</v>
      </c>
      <c r="T134" s="10">
        <v>1276</v>
      </c>
      <c r="U134" s="10">
        <v>1</v>
      </c>
      <c r="V134" s="10">
        <v>0</v>
      </c>
      <c r="W134" s="10">
        <v>0</v>
      </c>
      <c r="X134" s="10">
        <v>31421</v>
      </c>
      <c r="Y134" s="12" t="s">
        <v>72</v>
      </c>
      <c r="Z134" s="12" t="s">
        <v>1277</v>
      </c>
      <c r="AA134" s="13" t="s">
        <v>926</v>
      </c>
      <c r="AB134" s="14">
        <v>1002</v>
      </c>
      <c r="AC134" s="15" t="s">
        <v>603</v>
      </c>
      <c r="AD134" s="16">
        <v>34666</v>
      </c>
      <c r="AE134" s="14">
        <v>21433</v>
      </c>
      <c r="AF134" s="14">
        <v>4598</v>
      </c>
      <c r="AG134" s="14">
        <v>22435</v>
      </c>
      <c r="AH134" s="14" t="s">
        <v>17</v>
      </c>
      <c r="AI134" s="15" t="s">
        <v>10</v>
      </c>
      <c r="AJ134" s="14">
        <v>0</v>
      </c>
      <c r="AK134" s="14">
        <v>1</v>
      </c>
      <c r="AL134" s="14">
        <v>0</v>
      </c>
      <c r="AM134" s="51">
        <v>60765</v>
      </c>
      <c r="AN134" s="51">
        <v>38167</v>
      </c>
      <c r="AO134" s="51">
        <v>14312</v>
      </c>
      <c r="AP134" s="51">
        <v>7198</v>
      </c>
      <c r="AQ134" s="51">
        <v>158</v>
      </c>
      <c r="AR134" s="51">
        <v>256</v>
      </c>
      <c r="AS134" s="51">
        <v>591</v>
      </c>
      <c r="AT134" s="51">
        <v>83</v>
      </c>
      <c r="AU134" s="51">
        <v>30637</v>
      </c>
      <c r="AV134" s="51">
        <v>30128</v>
      </c>
      <c r="AW134" s="51">
        <v>26034</v>
      </c>
      <c r="AX134" s="51">
        <v>34731</v>
      </c>
      <c r="AY134" s="14">
        <v>24948.333333333332</v>
      </c>
      <c r="AZ134" s="14">
        <v>81099</v>
      </c>
      <c r="BA134" s="14">
        <v>4</v>
      </c>
      <c r="BB134" s="14">
        <v>5220</v>
      </c>
      <c r="BC134" s="14">
        <v>75875</v>
      </c>
      <c r="BD134" s="14">
        <v>50743</v>
      </c>
      <c r="BE134" s="11">
        <f>Table14[[#This Row],[Melayu_Voters_GE15]]/Table14[[#This Row],[All_Voters_GE15]]</f>
        <v>0.62569205538909234</v>
      </c>
      <c r="BF134" s="14">
        <v>19049</v>
      </c>
      <c r="BG134" s="11">
        <f>Table14[[#This Row],[Chinese_Voters_GE15]]/Table14[[#This Row],[All_Voters_GE15]]</f>
        <v>0.23488575691438859</v>
      </c>
      <c r="BH134" s="14">
        <v>9978</v>
      </c>
      <c r="BI134" s="11">
        <f>Table14[[#This Row],[India_Voters_GE15]]/Table14[[#This Row],[All_Voters_GE15]]</f>
        <v>0.12303480930714313</v>
      </c>
      <c r="BJ134" s="14">
        <v>140</v>
      </c>
      <c r="BK134" s="14">
        <v>402</v>
      </c>
      <c r="BL134" s="14">
        <v>638</v>
      </c>
      <c r="BM134" s="14">
        <v>149</v>
      </c>
      <c r="BN134" s="14">
        <f>Table14[[#This Row],[Lain_Voters_GE15]]+Table14[[#This Row],[Swak_Voters_GE15]]+Table14[[#This Row],[Sabah_Voters_GE15]]+Table14[[#This Row],[OA_Voters_GE15]]</f>
        <v>1329</v>
      </c>
      <c r="BO134" s="11">
        <f>Table14[[#This Row],[Base_Stock_GE15]]/Table14[[#This Row],[All_Voters_GE15]]</f>
        <v>0.38744004241729246</v>
      </c>
      <c r="BP134" s="14">
        <v>22354</v>
      </c>
      <c r="BQ134" s="10">
        <v>24301</v>
      </c>
      <c r="BR134" s="44">
        <v>12240</v>
      </c>
      <c r="BS134" s="10">
        <v>3661</v>
      </c>
      <c r="BT134" s="10">
        <v>39211</v>
      </c>
      <c r="BU134" s="10">
        <v>23632</v>
      </c>
      <c r="BV134" s="10">
        <v>14595</v>
      </c>
      <c r="BW134" s="10">
        <f t="shared" si="35"/>
        <v>42872</v>
      </c>
      <c r="BX134" s="10">
        <f t="shared" si="36"/>
        <v>38227</v>
      </c>
      <c r="BY134" s="14">
        <v>81982</v>
      </c>
      <c r="BZ134" s="14">
        <v>0</v>
      </c>
      <c r="CA134" s="14">
        <v>4333</v>
      </c>
      <c r="CB134" s="14">
        <v>77649</v>
      </c>
      <c r="CC134" s="14">
        <v>51414</v>
      </c>
      <c r="CD134" s="14">
        <v>19078</v>
      </c>
      <c r="CE134" s="14">
        <v>10152</v>
      </c>
      <c r="CF134" s="14">
        <v>159</v>
      </c>
      <c r="CG134" s="14">
        <v>400</v>
      </c>
      <c r="CH134" s="14">
        <v>607</v>
      </c>
      <c r="CI134" s="14">
        <v>172</v>
      </c>
      <c r="CJ134" s="14">
        <f t="shared" si="37"/>
        <v>1338</v>
      </c>
      <c r="CK134" s="14">
        <v>41329</v>
      </c>
      <c r="CL134" s="14">
        <v>40653</v>
      </c>
      <c r="CM134" s="14">
        <v>38692</v>
      </c>
      <c r="CN134" s="11">
        <f t="shared" si="38"/>
        <v>0.47195725891049256</v>
      </c>
      <c r="CO134" s="14">
        <v>43290</v>
      </c>
      <c r="CP134" s="11">
        <f t="shared" si="39"/>
        <v>0.52804274108950744</v>
      </c>
      <c r="CQ134" s="29">
        <v>638</v>
      </c>
      <c r="CR134" s="29">
        <v>7862</v>
      </c>
      <c r="CS134" s="29">
        <v>6224</v>
      </c>
      <c r="CT134" s="29">
        <v>4833</v>
      </c>
      <c r="CU134" s="47">
        <v>1744</v>
      </c>
      <c r="CV134" s="47">
        <v>684</v>
      </c>
      <c r="CW134" s="47">
        <v>767</v>
      </c>
      <c r="CX134" s="47">
        <v>219</v>
      </c>
      <c r="CY134" s="47">
        <v>74</v>
      </c>
      <c r="CZ134" s="47">
        <v>11</v>
      </c>
      <c r="DA134" s="47">
        <v>11</v>
      </c>
      <c r="DB134" s="47">
        <v>11</v>
      </c>
      <c r="DC134" s="47">
        <v>11</v>
      </c>
    </row>
    <row r="135" spans="1:107" x14ac:dyDescent="0.35">
      <c r="A135" s="1" t="s">
        <v>927</v>
      </c>
      <c r="B135" s="5" t="s">
        <v>0</v>
      </c>
      <c r="C135" s="3" t="s">
        <v>928</v>
      </c>
      <c r="D135" s="4" t="s">
        <v>929</v>
      </c>
      <c r="E135" s="5">
        <v>5</v>
      </c>
      <c r="F135" s="5">
        <v>30</v>
      </c>
      <c r="G135" s="2">
        <v>0.79899962413623615</v>
      </c>
      <c r="H135" s="2" t="s">
        <v>1276</v>
      </c>
      <c r="I135" s="9" t="s">
        <v>13</v>
      </c>
      <c r="J13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MAS ERMIEYATI </v>
      </c>
      <c r="K135" s="8">
        <v>21193</v>
      </c>
      <c r="L135" s="8" t="s">
        <v>8</v>
      </c>
      <c r="M135" s="7" t="s">
        <v>931</v>
      </c>
      <c r="N135" s="8">
        <v>7445</v>
      </c>
      <c r="O135" s="8"/>
      <c r="P135" s="7"/>
      <c r="Q135" s="8">
        <v>25604</v>
      </c>
      <c r="R135" s="8" t="s">
        <v>25</v>
      </c>
      <c r="S135" s="7" t="s">
        <v>930</v>
      </c>
      <c r="T135" s="10">
        <v>4411</v>
      </c>
      <c r="U135" s="10">
        <v>0</v>
      </c>
      <c r="V135" s="10">
        <v>0</v>
      </c>
      <c r="W135" s="10">
        <v>1</v>
      </c>
      <c r="X135" s="10">
        <v>36215</v>
      </c>
      <c r="Y135" s="12" t="s">
        <v>14</v>
      </c>
      <c r="Z135" s="12" t="s">
        <v>1277</v>
      </c>
      <c r="AA135" s="13" t="s">
        <v>932</v>
      </c>
      <c r="AB135" s="14">
        <v>8159</v>
      </c>
      <c r="AC135" s="15" t="s">
        <v>746</v>
      </c>
      <c r="AD135" s="16">
        <v>37950</v>
      </c>
      <c r="AE135" s="14">
        <v>22898</v>
      </c>
      <c r="AF135" s="14">
        <v>4688</v>
      </c>
      <c r="AG135" s="14">
        <v>14739</v>
      </c>
      <c r="AH135" s="14" t="s">
        <v>17</v>
      </c>
      <c r="AI135" s="15" t="s">
        <v>18</v>
      </c>
      <c r="AJ135" s="14">
        <v>1</v>
      </c>
      <c r="AK135" s="14">
        <v>0</v>
      </c>
      <c r="AL135" s="14">
        <v>0</v>
      </c>
      <c r="AM135" s="51">
        <v>51441</v>
      </c>
      <c r="AN135" s="51">
        <v>42784</v>
      </c>
      <c r="AO135" s="51">
        <v>6151</v>
      </c>
      <c r="AP135" s="51">
        <v>1921</v>
      </c>
      <c r="AQ135" s="51">
        <v>287</v>
      </c>
      <c r="AR135" s="51">
        <v>59</v>
      </c>
      <c r="AS135" s="51">
        <v>47</v>
      </c>
      <c r="AT135" s="51">
        <v>192</v>
      </c>
      <c r="AU135" s="51">
        <v>24384</v>
      </c>
      <c r="AV135" s="51">
        <v>27057</v>
      </c>
      <c r="AW135" s="51">
        <v>20733</v>
      </c>
      <c r="AX135" s="51">
        <v>30708</v>
      </c>
      <c r="AY135" s="14">
        <v>24056</v>
      </c>
      <c r="AZ135" s="14">
        <v>69174</v>
      </c>
      <c r="BA135" s="14">
        <v>8</v>
      </c>
      <c r="BB135" s="14">
        <v>323</v>
      </c>
      <c r="BC135" s="14">
        <v>68843</v>
      </c>
      <c r="BD135" s="14">
        <v>57859</v>
      </c>
      <c r="BE135" s="11">
        <f>Table14[[#This Row],[Melayu_Voters_GE15]]/Table14[[#This Row],[All_Voters_GE15]]</f>
        <v>0.83642698123572445</v>
      </c>
      <c r="BF135" s="14">
        <v>8094</v>
      </c>
      <c r="BG135" s="11">
        <f>Table14[[#This Row],[Chinese_Voters_GE15]]/Table14[[#This Row],[All_Voters_GE15]]</f>
        <v>0.11700928094370718</v>
      </c>
      <c r="BH135" s="14">
        <v>2533</v>
      </c>
      <c r="BI135" s="11">
        <f>Table14[[#This Row],[India_Voters_GE15]]/Table14[[#This Row],[All_Voters_GE15]]</f>
        <v>3.6617804377367218E-2</v>
      </c>
      <c r="BJ135" s="14">
        <v>305</v>
      </c>
      <c r="BK135" s="14">
        <v>165</v>
      </c>
      <c r="BL135" s="14">
        <v>112</v>
      </c>
      <c r="BM135" s="14">
        <v>106</v>
      </c>
      <c r="BN135" s="14">
        <f>Table14[[#This Row],[Lain_Voters_GE15]]+Table14[[#This Row],[Swak_Voters_GE15]]+Table14[[#This Row],[Sabah_Voters_GE15]]+Table14[[#This Row],[OA_Voters_GE15]]</f>
        <v>688</v>
      </c>
      <c r="BO135" s="11">
        <f>Table14[[#This Row],[Base_Stock_GE15]]/Table14[[#This Row],[All_Voters_GE15]]</f>
        <v>0.52353485413594703</v>
      </c>
      <c r="BP135" s="14">
        <v>26745</v>
      </c>
      <c r="BQ135" s="10">
        <v>20633</v>
      </c>
      <c r="BR135" s="44">
        <v>12373</v>
      </c>
      <c r="BS135" s="10">
        <v>3947</v>
      </c>
      <c r="BT135" s="10">
        <v>31956</v>
      </c>
      <c r="BU135" s="10">
        <v>20977</v>
      </c>
      <c r="BV135" s="10">
        <v>12294</v>
      </c>
      <c r="BW135" s="10">
        <f t="shared" si="35"/>
        <v>35903</v>
      </c>
      <c r="BX135" s="10">
        <f t="shared" si="36"/>
        <v>33271</v>
      </c>
      <c r="BY135" s="14">
        <v>71415</v>
      </c>
      <c r="BZ135" s="14">
        <v>0</v>
      </c>
      <c r="CA135" s="14">
        <v>208</v>
      </c>
      <c r="CB135" s="14">
        <v>71207</v>
      </c>
      <c r="CC135" s="14">
        <v>60048</v>
      </c>
      <c r="CD135" s="14">
        <v>8020</v>
      </c>
      <c r="CE135" s="14">
        <v>2546</v>
      </c>
      <c r="CF135" s="14">
        <v>333</v>
      </c>
      <c r="CG135" s="14">
        <v>209</v>
      </c>
      <c r="CH135" s="14">
        <v>138</v>
      </c>
      <c r="CI135" s="14">
        <v>121</v>
      </c>
      <c r="CJ135" s="14">
        <f t="shared" si="37"/>
        <v>801</v>
      </c>
      <c r="CK135" s="14">
        <v>34827</v>
      </c>
      <c r="CL135" s="14">
        <v>36588</v>
      </c>
      <c r="CM135" s="14">
        <v>34678</v>
      </c>
      <c r="CN135" s="11">
        <f t="shared" si="38"/>
        <v>0.48558426100959184</v>
      </c>
      <c r="CO135" s="14">
        <v>36737</v>
      </c>
      <c r="CP135" s="11">
        <f t="shared" si="39"/>
        <v>0.51441573899040816</v>
      </c>
      <c r="CQ135" s="29">
        <v>946</v>
      </c>
      <c r="CR135" s="29">
        <v>12117</v>
      </c>
      <c r="CS135" s="29">
        <v>8577</v>
      </c>
      <c r="CT135" s="29">
        <v>6015</v>
      </c>
      <c r="CU135" s="47">
        <v>3172</v>
      </c>
      <c r="CV135" s="47">
        <v>1031</v>
      </c>
      <c r="CW135" s="47">
        <v>1389</v>
      </c>
      <c r="CX135" s="47">
        <v>527</v>
      </c>
      <c r="CY135" s="47">
        <v>225</v>
      </c>
      <c r="CZ135" s="47">
        <v>14</v>
      </c>
      <c r="DA135" s="47">
        <v>14</v>
      </c>
      <c r="DB135" s="47">
        <v>14</v>
      </c>
      <c r="DC135" s="47">
        <v>13</v>
      </c>
    </row>
    <row r="136" spans="1:107" x14ac:dyDescent="0.35">
      <c r="A136" s="1" t="s">
        <v>927</v>
      </c>
      <c r="B136" s="5" t="s">
        <v>0</v>
      </c>
      <c r="C136" s="3" t="s">
        <v>933</v>
      </c>
      <c r="D136" s="4" t="s">
        <v>934</v>
      </c>
      <c r="E136" s="5">
        <v>5</v>
      </c>
      <c r="F136" s="5">
        <v>41</v>
      </c>
      <c r="G136" s="2">
        <v>0.79197522264256093</v>
      </c>
      <c r="H136" s="2" t="s">
        <v>1276</v>
      </c>
      <c r="I136" s="17" t="s">
        <v>121</v>
      </c>
      <c r="J13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ADLY ZAHARI </v>
      </c>
      <c r="K136" s="8">
        <v>27288</v>
      </c>
      <c r="L136" s="8" t="s">
        <v>8</v>
      </c>
      <c r="M136" s="7" t="s">
        <v>936</v>
      </c>
      <c r="N136" s="8">
        <v>28178</v>
      </c>
      <c r="O136" s="8" t="s">
        <v>214</v>
      </c>
      <c r="P136" s="7" t="s">
        <v>935</v>
      </c>
      <c r="Q136" s="8">
        <v>17211</v>
      </c>
      <c r="R136" s="8" t="s">
        <v>25</v>
      </c>
      <c r="S136" s="7" t="s">
        <v>937</v>
      </c>
      <c r="T136" s="10">
        <v>890</v>
      </c>
      <c r="U136" s="10">
        <v>0</v>
      </c>
      <c r="V136" s="10">
        <v>1</v>
      </c>
      <c r="W136" s="10">
        <v>0</v>
      </c>
      <c r="X136" s="10">
        <v>38097</v>
      </c>
      <c r="Y136" s="22" t="s">
        <v>43</v>
      </c>
      <c r="Z136" s="12" t="s">
        <v>1277</v>
      </c>
      <c r="AA136" s="13" t="s">
        <v>938</v>
      </c>
      <c r="AB136" s="14">
        <v>6980</v>
      </c>
      <c r="AC136" s="15" t="s">
        <v>746</v>
      </c>
      <c r="AD136" s="16">
        <v>38144</v>
      </c>
      <c r="AE136" s="14">
        <v>22350</v>
      </c>
      <c r="AF136" s="14">
        <v>6135</v>
      </c>
      <c r="AG136" s="14">
        <v>29330</v>
      </c>
      <c r="AH136" s="14" t="s">
        <v>82</v>
      </c>
      <c r="AI136" s="15" t="s">
        <v>18</v>
      </c>
      <c r="AJ136" s="14">
        <v>0</v>
      </c>
      <c r="AK136" s="14">
        <v>1</v>
      </c>
      <c r="AL136" s="14">
        <v>0</v>
      </c>
      <c r="AM136" s="51">
        <v>70364</v>
      </c>
      <c r="AN136" s="51">
        <v>42813</v>
      </c>
      <c r="AO136" s="51">
        <v>17796</v>
      </c>
      <c r="AP136" s="51">
        <v>9068</v>
      </c>
      <c r="AQ136" s="51">
        <v>141</v>
      </c>
      <c r="AR136" s="51">
        <v>72</v>
      </c>
      <c r="AS136" s="51">
        <v>49</v>
      </c>
      <c r="AT136" s="51">
        <v>425</v>
      </c>
      <c r="AU136" s="51">
        <v>34212</v>
      </c>
      <c r="AV136" s="51">
        <v>36152</v>
      </c>
      <c r="AW136" s="51">
        <v>27347</v>
      </c>
      <c r="AX136" s="51">
        <v>43017</v>
      </c>
      <c r="AY136" s="14">
        <v>27099.333333333332</v>
      </c>
      <c r="AZ136" s="14">
        <v>93311</v>
      </c>
      <c r="BA136" s="14">
        <v>4</v>
      </c>
      <c r="BB136" s="14">
        <v>558</v>
      </c>
      <c r="BC136" s="14">
        <v>92749</v>
      </c>
      <c r="BD136" s="14">
        <v>57882</v>
      </c>
      <c r="BE136" s="11">
        <f>Table14[[#This Row],[Melayu_Voters_GE15]]/Table14[[#This Row],[All_Voters_GE15]]</f>
        <v>0.6203127176860177</v>
      </c>
      <c r="BF136" s="14">
        <v>22090</v>
      </c>
      <c r="BG136" s="11">
        <f>Table14[[#This Row],[Chinese_Voters_GE15]]/Table14[[#This Row],[All_Voters_GE15]]</f>
        <v>0.23673521878449486</v>
      </c>
      <c r="BH136" s="14">
        <v>12216</v>
      </c>
      <c r="BI136" s="11">
        <f>Table14[[#This Row],[India_Voters_GE15]]/Table14[[#This Row],[All_Voters_GE15]]</f>
        <v>0.13091704086334943</v>
      </c>
      <c r="BJ136" s="14">
        <v>701</v>
      </c>
      <c r="BK136" s="14">
        <v>159</v>
      </c>
      <c r="BL136" s="14">
        <v>129</v>
      </c>
      <c r="BM136" s="14">
        <v>134</v>
      </c>
      <c r="BN136" s="14">
        <f>Table14[[#This Row],[Lain_Voters_GE15]]+Table14[[#This Row],[Swak_Voters_GE15]]+Table14[[#This Row],[Sabah_Voters_GE15]]+Table14[[#This Row],[OA_Voters_GE15]]</f>
        <v>1123</v>
      </c>
      <c r="BO136" s="11">
        <f>Table14[[#This Row],[Base_Stock_GE15]]/Table14[[#This Row],[All_Voters_GE15]]</f>
        <v>0.40827983838990045</v>
      </c>
      <c r="BP136" s="14">
        <v>30621</v>
      </c>
      <c r="BQ136" s="10">
        <v>26492</v>
      </c>
      <c r="BR136" s="44">
        <v>16211</v>
      </c>
      <c r="BS136" s="10">
        <v>5339</v>
      </c>
      <c r="BT136" s="10">
        <v>41705</v>
      </c>
      <c r="BU136" s="10">
        <v>28764</v>
      </c>
      <c r="BV136" s="10">
        <v>17503</v>
      </c>
      <c r="BW136" s="10">
        <f t="shared" si="35"/>
        <v>47044</v>
      </c>
      <c r="BX136" s="10">
        <f t="shared" si="36"/>
        <v>46267</v>
      </c>
      <c r="BY136" s="14">
        <v>96628</v>
      </c>
      <c r="BZ136" s="14">
        <v>0</v>
      </c>
      <c r="CA136" s="14">
        <v>637</v>
      </c>
      <c r="CB136" s="14">
        <v>95991</v>
      </c>
      <c r="CC136" s="14">
        <v>60765</v>
      </c>
      <c r="CD136" s="14">
        <v>21991</v>
      </c>
      <c r="CE136" s="14">
        <v>12582</v>
      </c>
      <c r="CF136" s="14">
        <v>756</v>
      </c>
      <c r="CG136" s="14">
        <v>216</v>
      </c>
      <c r="CH136" s="14">
        <v>163</v>
      </c>
      <c r="CI136" s="14">
        <v>155</v>
      </c>
      <c r="CJ136" s="14">
        <f t="shared" si="37"/>
        <v>1290</v>
      </c>
      <c r="CK136" s="14">
        <v>47590</v>
      </c>
      <c r="CL136" s="14">
        <v>49038</v>
      </c>
      <c r="CM136" s="14">
        <v>45770</v>
      </c>
      <c r="CN136" s="11">
        <f t="shared" si="38"/>
        <v>0.47367222751169435</v>
      </c>
      <c r="CO136" s="14">
        <v>50858</v>
      </c>
      <c r="CP136" s="11">
        <f t="shared" si="39"/>
        <v>0.52632777248830565</v>
      </c>
      <c r="CQ136" s="29">
        <v>590</v>
      </c>
      <c r="CR136" s="29">
        <v>4597</v>
      </c>
      <c r="CS136" s="29">
        <v>3586</v>
      </c>
      <c r="CT136" s="29">
        <v>2402</v>
      </c>
      <c r="CU136" s="47">
        <v>3525</v>
      </c>
      <c r="CV136" s="47">
        <v>1106</v>
      </c>
      <c r="CW136" s="47">
        <v>1729</v>
      </c>
      <c r="CX136" s="47">
        <v>406</v>
      </c>
      <c r="CY136" s="47">
        <v>284</v>
      </c>
      <c r="CZ136" s="47">
        <v>13</v>
      </c>
      <c r="DA136" s="47">
        <v>13</v>
      </c>
      <c r="DB136" s="47">
        <v>13</v>
      </c>
      <c r="DC136" s="47">
        <v>13</v>
      </c>
    </row>
    <row r="137" spans="1:107" x14ac:dyDescent="0.35">
      <c r="A137" s="1" t="s">
        <v>927</v>
      </c>
      <c r="B137" s="5" t="s">
        <v>0</v>
      </c>
      <c r="C137" s="3" t="s">
        <v>939</v>
      </c>
      <c r="D137" s="4" t="s">
        <v>940</v>
      </c>
      <c r="E137" s="5">
        <v>4</v>
      </c>
      <c r="F137" s="5">
        <v>24</v>
      </c>
      <c r="G137" s="2">
        <v>0.8018758944119726</v>
      </c>
      <c r="H137" s="2" t="s">
        <v>1276</v>
      </c>
      <c r="I137" s="9" t="s">
        <v>13</v>
      </c>
      <c r="J13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BAKRI JAMALUDDIN </v>
      </c>
      <c r="K137" s="8">
        <v>29095</v>
      </c>
      <c r="L137" s="8" t="s">
        <v>77</v>
      </c>
      <c r="M137" s="7" t="s">
        <v>942</v>
      </c>
      <c r="N137" s="8">
        <v>28557</v>
      </c>
      <c r="O137" s="8" t="s">
        <v>23</v>
      </c>
      <c r="P137" s="7" t="s">
        <v>943</v>
      </c>
      <c r="Q137" s="8">
        <v>37406</v>
      </c>
      <c r="R137" s="8" t="s">
        <v>12</v>
      </c>
      <c r="S137" s="7" t="s">
        <v>941</v>
      </c>
      <c r="T137" s="10">
        <v>8311</v>
      </c>
      <c r="U137" s="10">
        <v>0</v>
      </c>
      <c r="V137" s="10">
        <v>0</v>
      </c>
      <c r="W137" s="10">
        <v>1</v>
      </c>
      <c r="X137" s="10">
        <v>39070</v>
      </c>
      <c r="Y137" s="22" t="s">
        <v>26</v>
      </c>
      <c r="Z137" s="12" t="s">
        <v>1277</v>
      </c>
      <c r="AA137" s="13" t="s">
        <v>944</v>
      </c>
      <c r="AB137" s="14">
        <v>4659</v>
      </c>
      <c r="AC137" s="15" t="s">
        <v>270</v>
      </c>
      <c r="AD137" s="16">
        <v>40578</v>
      </c>
      <c r="AE137" s="14">
        <v>27761</v>
      </c>
      <c r="AF137" s="14">
        <v>8961</v>
      </c>
      <c r="AG137" s="14">
        <v>32420</v>
      </c>
      <c r="AH137" s="14" t="s">
        <v>17</v>
      </c>
      <c r="AI137" s="15" t="s">
        <v>29</v>
      </c>
      <c r="AJ137" s="14">
        <v>0</v>
      </c>
      <c r="AK137" s="14">
        <v>1</v>
      </c>
      <c r="AL137" s="14">
        <v>0</v>
      </c>
      <c r="AM137" s="51">
        <v>83213</v>
      </c>
      <c r="AN137" s="51">
        <v>59048</v>
      </c>
      <c r="AO137" s="51">
        <v>18376</v>
      </c>
      <c r="AP137" s="51">
        <v>2970</v>
      </c>
      <c r="AQ137" s="51">
        <v>489</v>
      </c>
      <c r="AR137" s="51">
        <v>933</v>
      </c>
      <c r="AS137" s="51">
        <v>1330</v>
      </c>
      <c r="AT137" s="51">
        <v>67</v>
      </c>
      <c r="AU137" s="51">
        <v>42562</v>
      </c>
      <c r="AV137" s="51">
        <v>40651</v>
      </c>
      <c r="AW137" s="51">
        <v>40422</v>
      </c>
      <c r="AX137" s="51">
        <v>42791</v>
      </c>
      <c r="AY137" s="14">
        <v>32563</v>
      </c>
      <c r="AZ137" s="14">
        <v>115998</v>
      </c>
      <c r="BA137" s="14">
        <v>16</v>
      </c>
      <c r="BB137" s="14">
        <v>9621</v>
      </c>
      <c r="BC137" s="14">
        <v>106361</v>
      </c>
      <c r="BD137" s="14">
        <v>81590</v>
      </c>
      <c r="BE137" s="11">
        <f>Table14[[#This Row],[Melayu_Voters_GE15]]/Table14[[#This Row],[All_Voters_GE15]]</f>
        <v>0.70337419610682939</v>
      </c>
      <c r="BF137" s="14">
        <v>25720</v>
      </c>
      <c r="BG137" s="11">
        <f>Table14[[#This Row],[Chinese_Voters_GE15]]/Table14[[#This Row],[All_Voters_GE15]]</f>
        <v>0.22172796082691082</v>
      </c>
      <c r="BH137" s="14">
        <v>4273</v>
      </c>
      <c r="BI137" s="11">
        <f>Table14[[#This Row],[India_Voters_GE15]]/Table14[[#This Row],[All_Voters_GE15]]</f>
        <v>3.6836842014517493E-2</v>
      </c>
      <c r="BJ137" s="14">
        <v>66</v>
      </c>
      <c r="BK137" s="14">
        <v>1709</v>
      </c>
      <c r="BL137" s="14">
        <v>1738</v>
      </c>
      <c r="BM137" s="14">
        <v>902</v>
      </c>
      <c r="BN137" s="14">
        <f>Table14[[#This Row],[Lain_Voters_GE15]]+Table14[[#This Row],[Swak_Voters_GE15]]+Table14[[#This Row],[Sabah_Voters_GE15]]+Table14[[#This Row],[OA_Voters_GE15]]</f>
        <v>4415</v>
      </c>
      <c r="BO137" s="11">
        <f>Table14[[#This Row],[Base_Stock_GE15]]/Table14[[#This Row],[All_Voters_GE15]]</f>
        <v>0.33681615200262072</v>
      </c>
      <c r="BP137" s="14">
        <v>30975</v>
      </c>
      <c r="BQ137" s="10">
        <v>37803</v>
      </c>
      <c r="BR137" s="44">
        <v>23747</v>
      </c>
      <c r="BS137" s="10">
        <v>7626</v>
      </c>
      <c r="BT137" s="10">
        <v>59548</v>
      </c>
      <c r="BU137" s="10">
        <v>33297</v>
      </c>
      <c r="BV137" s="10">
        <v>15527</v>
      </c>
      <c r="BW137" s="10">
        <f t="shared" si="35"/>
        <v>67174</v>
      </c>
      <c r="BX137" s="10">
        <f t="shared" si="36"/>
        <v>48824</v>
      </c>
      <c r="BY137" s="14">
        <v>122666</v>
      </c>
      <c r="BZ137" s="14">
        <v>0</v>
      </c>
      <c r="CA137" s="14">
        <v>9028</v>
      </c>
      <c r="CB137" s="14">
        <v>113638</v>
      </c>
      <c r="CC137" s="14">
        <v>86962</v>
      </c>
      <c r="CD137" s="14">
        <v>26408</v>
      </c>
      <c r="CE137" s="14">
        <v>4511</v>
      </c>
      <c r="CF137" s="14">
        <v>50</v>
      </c>
      <c r="CG137" s="14">
        <v>1786</v>
      </c>
      <c r="CH137" s="14">
        <v>2046</v>
      </c>
      <c r="CI137" s="14">
        <v>903</v>
      </c>
      <c r="CJ137" s="14">
        <f t="shared" si="37"/>
        <v>4785</v>
      </c>
      <c r="CK137" s="14">
        <v>62748</v>
      </c>
      <c r="CL137" s="14">
        <v>59918</v>
      </c>
      <c r="CM137" s="14">
        <v>66470</v>
      </c>
      <c r="CN137" s="11">
        <f t="shared" si="38"/>
        <v>0.54187794498883146</v>
      </c>
      <c r="CO137" s="14">
        <v>56196</v>
      </c>
      <c r="CP137" s="11">
        <f t="shared" si="39"/>
        <v>0.45812205501116854</v>
      </c>
      <c r="CQ137" s="29">
        <v>1024</v>
      </c>
      <c r="CR137" s="29">
        <v>8448</v>
      </c>
      <c r="CS137" s="29">
        <v>6647</v>
      </c>
      <c r="CT137" s="29">
        <v>4042</v>
      </c>
      <c r="CU137" s="47">
        <v>4495</v>
      </c>
      <c r="CV137" s="47">
        <v>1399</v>
      </c>
      <c r="CW137" s="47">
        <v>2063</v>
      </c>
      <c r="CX137" s="47">
        <v>703</v>
      </c>
      <c r="CY137" s="47">
        <v>330</v>
      </c>
      <c r="CZ137" s="47">
        <v>21</v>
      </c>
      <c r="DA137" s="47">
        <v>21</v>
      </c>
      <c r="DB137" s="47">
        <v>21</v>
      </c>
      <c r="DC137" s="47">
        <v>21</v>
      </c>
    </row>
    <row r="138" spans="1:107" x14ac:dyDescent="0.35">
      <c r="A138" s="1" t="s">
        <v>927</v>
      </c>
      <c r="B138" s="5" t="s">
        <v>0</v>
      </c>
      <c r="C138" s="3" t="s">
        <v>945</v>
      </c>
      <c r="D138" s="4" t="s">
        <v>946</v>
      </c>
      <c r="E138" s="5">
        <v>4</v>
      </c>
      <c r="F138" s="5">
        <v>32</v>
      </c>
      <c r="G138" s="2">
        <v>0.80673119931135173</v>
      </c>
      <c r="H138" s="2" t="s">
        <v>1276</v>
      </c>
      <c r="I138" s="17" t="s">
        <v>121</v>
      </c>
      <c r="J13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ADAM ADLI </v>
      </c>
      <c r="K138" s="8">
        <v>30780</v>
      </c>
      <c r="L138" s="8" t="s">
        <v>8</v>
      </c>
      <c r="M138" s="7" t="s">
        <v>948</v>
      </c>
      <c r="N138" s="8">
        <v>39418</v>
      </c>
      <c r="O138" s="8" t="s">
        <v>23</v>
      </c>
      <c r="P138" s="7" t="s">
        <v>947</v>
      </c>
      <c r="Q138" s="8">
        <v>23549</v>
      </c>
      <c r="R138" s="8" t="s">
        <v>25</v>
      </c>
      <c r="S138" s="7" t="s">
        <v>949</v>
      </c>
      <c r="T138" s="10">
        <v>8638</v>
      </c>
      <c r="U138" s="10">
        <v>0</v>
      </c>
      <c r="V138" s="10">
        <v>1</v>
      </c>
      <c r="W138" s="10">
        <v>0</v>
      </c>
      <c r="X138" s="10">
        <v>40795</v>
      </c>
      <c r="Y138" s="23" t="s">
        <v>26</v>
      </c>
      <c r="Z138" s="12" t="s">
        <v>1277</v>
      </c>
      <c r="AA138" s="13" t="s">
        <v>950</v>
      </c>
      <c r="AB138" s="14">
        <v>8640</v>
      </c>
      <c r="AC138" s="15" t="s">
        <v>753</v>
      </c>
      <c r="AD138" s="16">
        <v>54181</v>
      </c>
      <c r="AE138" s="14">
        <v>30427</v>
      </c>
      <c r="AF138" s="14">
        <v>7089</v>
      </c>
      <c r="AG138" s="14">
        <v>39067</v>
      </c>
      <c r="AH138" s="14" t="s">
        <v>17</v>
      </c>
      <c r="AI138" s="15" t="s">
        <v>29</v>
      </c>
      <c r="AJ138" s="14">
        <v>0</v>
      </c>
      <c r="AK138" s="14">
        <v>1</v>
      </c>
      <c r="AL138" s="14">
        <v>0</v>
      </c>
      <c r="AM138" s="51">
        <v>89364</v>
      </c>
      <c r="AN138" s="51">
        <v>55753</v>
      </c>
      <c r="AO138" s="51">
        <v>27798</v>
      </c>
      <c r="AP138" s="51">
        <v>5130</v>
      </c>
      <c r="AQ138" s="51">
        <v>406</v>
      </c>
      <c r="AR138" s="51">
        <v>179</v>
      </c>
      <c r="AS138" s="51">
        <v>94</v>
      </c>
      <c r="AT138" s="51">
        <v>4</v>
      </c>
      <c r="AU138" s="51">
        <v>43467</v>
      </c>
      <c r="AV138" s="51">
        <v>45897</v>
      </c>
      <c r="AW138" s="51">
        <v>38258</v>
      </c>
      <c r="AX138" s="51">
        <v>51106</v>
      </c>
      <c r="AY138" s="14">
        <v>34040.666666666664</v>
      </c>
      <c r="AZ138" s="14">
        <v>118493</v>
      </c>
      <c r="BA138" s="14">
        <v>16</v>
      </c>
      <c r="BB138" s="14">
        <v>1201</v>
      </c>
      <c r="BC138" s="14">
        <v>117276</v>
      </c>
      <c r="BD138" s="14">
        <v>73931</v>
      </c>
      <c r="BE138" s="11">
        <f>Table14[[#This Row],[Melayu_Voters_GE15]]/Table14[[#This Row],[All_Voters_GE15]]</f>
        <v>0.62392715181487512</v>
      </c>
      <c r="BF138" s="14">
        <v>36150</v>
      </c>
      <c r="BG138" s="11">
        <f>Table14[[#This Row],[Chinese_Voters_GE15]]/Table14[[#This Row],[All_Voters_GE15]]</f>
        <v>0.30508131282016659</v>
      </c>
      <c r="BH138" s="14">
        <v>7255</v>
      </c>
      <c r="BI138" s="11">
        <f>Table14[[#This Row],[India_Voters_GE15]]/Table14[[#This Row],[All_Voters_GE15]]</f>
        <v>6.1227245491294845E-2</v>
      </c>
      <c r="BJ138" s="14">
        <v>16</v>
      </c>
      <c r="BK138" s="14">
        <v>370</v>
      </c>
      <c r="BL138" s="14">
        <v>210</v>
      </c>
      <c r="BM138" s="14">
        <v>561</v>
      </c>
      <c r="BN138" s="14">
        <f>Table14[[#This Row],[Lain_Voters_GE15]]+Table14[[#This Row],[Swak_Voters_GE15]]+Table14[[#This Row],[Sabah_Voters_GE15]]+Table14[[#This Row],[OA_Voters_GE15]]</f>
        <v>1157</v>
      </c>
      <c r="BO138" s="11">
        <f>Table14[[#This Row],[Base_Stock_GE15]]/Table14[[#This Row],[All_Voters_GE15]]</f>
        <v>0.34428194070535811</v>
      </c>
      <c r="BP138" s="14">
        <v>31486</v>
      </c>
      <c r="BQ138" s="10">
        <v>32434</v>
      </c>
      <c r="BR138" s="44">
        <v>20941</v>
      </c>
      <c r="BS138" s="10">
        <v>6873</v>
      </c>
      <c r="BT138" s="10">
        <v>55036</v>
      </c>
      <c r="BU138" s="10">
        <v>35909</v>
      </c>
      <c r="BV138" s="10">
        <v>20675</v>
      </c>
      <c r="BW138" s="10">
        <f t="shared" si="35"/>
        <v>61909</v>
      </c>
      <c r="BX138" s="10">
        <f t="shared" si="36"/>
        <v>56584</v>
      </c>
      <c r="BY138" s="14">
        <v>123484</v>
      </c>
      <c r="BZ138" s="14">
        <v>0</v>
      </c>
      <c r="CA138" s="14">
        <v>1079</v>
      </c>
      <c r="CB138" s="14">
        <v>122405</v>
      </c>
      <c r="CC138" s="14">
        <v>78124</v>
      </c>
      <c r="CD138" s="14">
        <v>36648</v>
      </c>
      <c r="CE138" s="14">
        <v>7458</v>
      </c>
      <c r="CF138" s="14">
        <v>15</v>
      </c>
      <c r="CG138" s="14">
        <v>401</v>
      </c>
      <c r="CH138" s="14">
        <v>254</v>
      </c>
      <c r="CI138" s="14">
        <v>584</v>
      </c>
      <c r="CJ138" s="14">
        <f t="shared" si="37"/>
        <v>1254</v>
      </c>
      <c r="CK138" s="14">
        <v>60497</v>
      </c>
      <c r="CL138" s="14">
        <v>62987</v>
      </c>
      <c r="CM138" s="14">
        <v>59834</v>
      </c>
      <c r="CN138" s="11">
        <f t="shared" si="38"/>
        <v>0.48454860548735057</v>
      </c>
      <c r="CO138" s="14">
        <v>63650</v>
      </c>
      <c r="CP138" s="11">
        <f t="shared" si="39"/>
        <v>0.51545139451264943</v>
      </c>
      <c r="CQ138" s="29">
        <v>1518</v>
      </c>
      <c r="CR138" s="29">
        <v>11449</v>
      </c>
      <c r="CS138" s="29">
        <v>8530</v>
      </c>
      <c r="CT138" s="29">
        <v>5436</v>
      </c>
      <c r="CU138" s="47">
        <v>4058</v>
      </c>
      <c r="CV138" s="47">
        <v>1346</v>
      </c>
      <c r="CW138" s="47">
        <v>1858</v>
      </c>
      <c r="CX138" s="47">
        <v>588</v>
      </c>
      <c r="CY138" s="47">
        <v>266</v>
      </c>
      <c r="CZ138" s="47">
        <v>14</v>
      </c>
      <c r="DA138" s="47">
        <v>14</v>
      </c>
      <c r="DB138" s="47">
        <v>14</v>
      </c>
      <c r="DC138" s="47">
        <v>14</v>
      </c>
    </row>
    <row r="139" spans="1:107" x14ac:dyDescent="0.35">
      <c r="A139" s="1" t="s">
        <v>927</v>
      </c>
      <c r="B139" s="5" t="s">
        <v>0</v>
      </c>
      <c r="C139" s="3" t="s">
        <v>951</v>
      </c>
      <c r="D139" s="4" t="s">
        <v>952</v>
      </c>
      <c r="E139" s="5">
        <v>5</v>
      </c>
      <c r="F139" s="5">
        <v>46</v>
      </c>
      <c r="G139" s="2">
        <v>0.76042402826855127</v>
      </c>
      <c r="H139" s="2" t="s">
        <v>1276</v>
      </c>
      <c r="I139" s="17" t="s">
        <v>121</v>
      </c>
      <c r="J13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KHOO POAY TIONG </v>
      </c>
      <c r="K139" s="8">
        <v>20686</v>
      </c>
      <c r="L139" s="8" t="s">
        <v>77</v>
      </c>
      <c r="M139" s="7" t="s">
        <v>954</v>
      </c>
      <c r="N139" s="8">
        <v>73995</v>
      </c>
      <c r="O139" s="8" t="s">
        <v>102</v>
      </c>
      <c r="P139" s="7" t="s">
        <v>953</v>
      </c>
      <c r="Q139" s="8">
        <v>27575</v>
      </c>
      <c r="R139" s="8" t="s">
        <v>370</v>
      </c>
      <c r="S139" s="7" t="s">
        <v>955</v>
      </c>
      <c r="T139" s="10">
        <v>46420</v>
      </c>
      <c r="U139" s="10">
        <v>0</v>
      </c>
      <c r="V139" s="10">
        <v>1</v>
      </c>
      <c r="W139" s="10">
        <v>0</v>
      </c>
      <c r="X139" s="10">
        <v>35741</v>
      </c>
      <c r="Y139" s="24" t="s">
        <v>319</v>
      </c>
      <c r="Z139" s="12" t="s">
        <v>1277</v>
      </c>
      <c r="AA139" s="13" t="s">
        <v>956</v>
      </c>
      <c r="AB139" s="14">
        <v>49175</v>
      </c>
      <c r="AC139" s="15" t="s">
        <v>957</v>
      </c>
      <c r="AD139" s="16">
        <v>42581</v>
      </c>
      <c r="AE139" s="14">
        <v>27343</v>
      </c>
      <c r="AF139" s="14"/>
      <c r="AG139" s="14">
        <v>76518</v>
      </c>
      <c r="AH139" s="14" t="s">
        <v>82</v>
      </c>
      <c r="AI139" s="15" t="s">
        <v>321</v>
      </c>
      <c r="AJ139" s="14">
        <v>0</v>
      </c>
      <c r="AK139" s="14">
        <v>1</v>
      </c>
      <c r="AL139" s="14">
        <v>0</v>
      </c>
      <c r="AM139" s="51">
        <v>126848</v>
      </c>
      <c r="AN139" s="51">
        <v>47445</v>
      </c>
      <c r="AO139" s="51">
        <v>72446</v>
      </c>
      <c r="AP139" s="51">
        <v>5164</v>
      </c>
      <c r="AQ139" s="51">
        <v>1511</v>
      </c>
      <c r="AR139" s="51">
        <v>161</v>
      </c>
      <c r="AS139" s="51">
        <v>114</v>
      </c>
      <c r="AT139" s="51">
        <v>7</v>
      </c>
      <c r="AU139" s="51">
        <v>61174</v>
      </c>
      <c r="AV139" s="51">
        <v>65674</v>
      </c>
      <c r="AW139" s="51">
        <v>44357</v>
      </c>
      <c r="AX139" s="51">
        <v>82491</v>
      </c>
      <c r="AY139" s="14">
        <v>27789.333333333332</v>
      </c>
      <c r="AZ139" s="14">
        <v>164140</v>
      </c>
      <c r="BA139" s="14">
        <v>29</v>
      </c>
      <c r="BB139" s="14">
        <v>671</v>
      </c>
      <c r="BC139" s="14">
        <v>163440</v>
      </c>
      <c r="BD139" s="14">
        <v>64912</v>
      </c>
      <c r="BE139" s="11">
        <f>Table14[[#This Row],[Melayu_Voters_GE15]]/Table14[[#This Row],[All_Voters_GE15]]</f>
        <v>0.39546728402583159</v>
      </c>
      <c r="BF139" s="14">
        <v>88725</v>
      </c>
      <c r="BG139" s="11">
        <f>Table14[[#This Row],[Chinese_Voters_GE15]]/Table14[[#This Row],[All_Voters_GE15]]</f>
        <v>0.54054465700012189</v>
      </c>
      <c r="BH139" s="14">
        <v>7403</v>
      </c>
      <c r="BI139" s="11">
        <f>Table14[[#This Row],[India_Voters_GE15]]/Table14[[#This Row],[All_Voters_GE15]]</f>
        <v>4.5101742415011574E-2</v>
      </c>
      <c r="BJ139" s="14">
        <v>17</v>
      </c>
      <c r="BK139" s="14">
        <v>402</v>
      </c>
      <c r="BL139" s="14">
        <v>277</v>
      </c>
      <c r="BM139" s="14">
        <v>2404</v>
      </c>
      <c r="BN139" s="14">
        <f>Table14[[#This Row],[Lain_Voters_GE15]]+Table14[[#This Row],[Swak_Voters_GE15]]+Table14[[#This Row],[Sabah_Voters_GE15]]+Table14[[#This Row],[OA_Voters_GE15]]</f>
        <v>3100</v>
      </c>
      <c r="BO139" s="11">
        <f>Table14[[#This Row],[Base_Stock_GE15]]/Table14[[#This Row],[All_Voters_GE15]]</f>
        <v>0.21774704520531254</v>
      </c>
      <c r="BP139" s="14">
        <v>27390</v>
      </c>
      <c r="BQ139" s="10">
        <v>44284</v>
      </c>
      <c r="BR139" s="44">
        <v>24882</v>
      </c>
      <c r="BS139" s="10">
        <v>8062</v>
      </c>
      <c r="BT139" s="10">
        <v>66585</v>
      </c>
      <c r="BU139" s="10">
        <v>52587</v>
      </c>
      <c r="BV139" s="10">
        <v>36906</v>
      </c>
      <c r="BW139" s="10">
        <f t="shared" ref="BW139:BW156" si="40">BS139+BT139</f>
        <v>74647</v>
      </c>
      <c r="BX139" s="10">
        <f t="shared" ref="BX139:BX156" si="41">BU139+BV139</f>
        <v>89493</v>
      </c>
      <c r="BY139" s="14">
        <v>167542</v>
      </c>
      <c r="BZ139" s="14">
        <v>0</v>
      </c>
      <c r="CA139" s="14">
        <v>794</v>
      </c>
      <c r="CB139" s="14">
        <v>166748</v>
      </c>
      <c r="CC139" s="14">
        <v>68807</v>
      </c>
      <c r="CD139" s="14">
        <v>87959</v>
      </c>
      <c r="CE139" s="14">
        <v>7525</v>
      </c>
      <c r="CF139" s="14">
        <v>15</v>
      </c>
      <c r="CG139" s="14">
        <v>450</v>
      </c>
      <c r="CH139" s="14">
        <v>320</v>
      </c>
      <c r="CI139" s="14">
        <v>2466</v>
      </c>
      <c r="CJ139" s="14">
        <f t="shared" ref="CJ139:CJ156" si="42">SUM(CF139:CI139)</f>
        <v>3251</v>
      </c>
      <c r="CK139" s="14">
        <v>81408</v>
      </c>
      <c r="CL139" s="14">
        <v>86134</v>
      </c>
      <c r="CM139" s="14">
        <v>71029</v>
      </c>
      <c r="CN139" s="11">
        <f t="shared" ref="CN139:CN156" si="43">CM139/$BY139</f>
        <v>0.42394742810757902</v>
      </c>
      <c r="CO139" s="14">
        <v>96513</v>
      </c>
      <c r="CP139" s="11">
        <f t="shared" ref="CP139:CP156" si="44">CO139/$BY139</f>
        <v>0.57605257189242098</v>
      </c>
      <c r="CQ139" s="29">
        <v>1586</v>
      </c>
      <c r="CR139" s="29">
        <v>11418</v>
      </c>
      <c r="CS139" s="29">
        <v>7147</v>
      </c>
      <c r="CT139" s="29">
        <v>3851</v>
      </c>
      <c r="CU139" s="47">
        <v>5183</v>
      </c>
      <c r="CV139" s="47">
        <v>1670</v>
      </c>
      <c r="CW139" s="47">
        <v>2458</v>
      </c>
      <c r="CX139" s="47">
        <v>749</v>
      </c>
      <c r="CY139" s="47">
        <v>306</v>
      </c>
      <c r="CZ139" s="47">
        <v>24</v>
      </c>
      <c r="DA139" s="47">
        <v>24</v>
      </c>
      <c r="DB139" s="47">
        <v>24</v>
      </c>
      <c r="DC139" s="47">
        <v>22</v>
      </c>
    </row>
    <row r="140" spans="1:107" x14ac:dyDescent="0.35">
      <c r="A140" s="1" t="s">
        <v>927</v>
      </c>
      <c r="B140" s="5" t="s">
        <v>0</v>
      </c>
      <c r="C140" s="3" t="s">
        <v>958</v>
      </c>
      <c r="D140" s="4" t="s">
        <v>959</v>
      </c>
      <c r="E140" s="5">
        <v>5</v>
      </c>
      <c r="F140" s="5">
        <v>38</v>
      </c>
      <c r="G140" s="2">
        <v>0.81416306336271416</v>
      </c>
      <c r="H140" s="2" t="s">
        <v>1276</v>
      </c>
      <c r="I140" s="9" t="s">
        <v>13</v>
      </c>
      <c r="J14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TUAN GURU ZULKIFLI ISMAIL </v>
      </c>
      <c r="K140" s="8">
        <v>27571</v>
      </c>
      <c r="L140" s="8" t="s">
        <v>8</v>
      </c>
      <c r="M140" s="7" t="s">
        <v>961</v>
      </c>
      <c r="N140" s="8">
        <v>21674</v>
      </c>
      <c r="O140" s="8" t="s">
        <v>10</v>
      </c>
      <c r="P140" s="7" t="s">
        <v>962</v>
      </c>
      <c r="Q140" s="8">
        <v>27893</v>
      </c>
      <c r="R140" s="8" t="s">
        <v>12</v>
      </c>
      <c r="S140" s="7" t="s">
        <v>960</v>
      </c>
      <c r="T140" s="10">
        <v>322</v>
      </c>
      <c r="U140" s="10">
        <v>0</v>
      </c>
      <c r="V140" s="10">
        <v>0</v>
      </c>
      <c r="W140" s="10">
        <v>1</v>
      </c>
      <c r="X140" s="10">
        <v>41031</v>
      </c>
      <c r="Y140" s="24" t="s">
        <v>14</v>
      </c>
      <c r="Z140" s="12" t="s">
        <v>1277</v>
      </c>
      <c r="AA140" s="13" t="s">
        <v>963</v>
      </c>
      <c r="AB140" s="14">
        <v>219</v>
      </c>
      <c r="AC140" s="15" t="s">
        <v>964</v>
      </c>
      <c r="AD140" s="16">
        <v>48425</v>
      </c>
      <c r="AE140" s="14">
        <v>26560</v>
      </c>
      <c r="AF140" s="14">
        <v>8860</v>
      </c>
      <c r="AG140" s="14">
        <v>26341</v>
      </c>
      <c r="AH140" s="14" t="s">
        <v>17</v>
      </c>
      <c r="AI140" s="15" t="s">
        <v>10</v>
      </c>
      <c r="AJ140" s="14">
        <v>1</v>
      </c>
      <c r="AK140" s="14">
        <v>0</v>
      </c>
      <c r="AL140" s="14">
        <v>0</v>
      </c>
      <c r="AM140" s="51">
        <v>73432</v>
      </c>
      <c r="AN140" s="51">
        <v>53972</v>
      </c>
      <c r="AO140" s="51">
        <v>11876</v>
      </c>
      <c r="AP140" s="51">
        <v>7193</v>
      </c>
      <c r="AQ140" s="51">
        <v>198</v>
      </c>
      <c r="AR140" s="51">
        <v>68</v>
      </c>
      <c r="AS140" s="51">
        <v>38</v>
      </c>
      <c r="AT140" s="51">
        <v>87</v>
      </c>
      <c r="AU140" s="51">
        <v>35347</v>
      </c>
      <c r="AV140" s="51">
        <v>38085</v>
      </c>
      <c r="AW140" s="51">
        <v>30069</v>
      </c>
      <c r="AX140" s="51">
        <v>43363</v>
      </c>
      <c r="AY140" s="14">
        <v>29378</v>
      </c>
      <c r="AZ140" s="14">
        <v>96208</v>
      </c>
      <c r="BA140" s="14">
        <v>5</v>
      </c>
      <c r="BB140" s="14">
        <v>227</v>
      </c>
      <c r="BC140" s="14">
        <v>95976</v>
      </c>
      <c r="BD140" s="14">
        <v>71156</v>
      </c>
      <c r="BE140" s="11">
        <f>Table14[[#This Row],[Melayu_Voters_GE15]]/Table14[[#This Row],[All_Voters_GE15]]</f>
        <v>0.7396058539830368</v>
      </c>
      <c r="BF140" s="14">
        <v>14843</v>
      </c>
      <c r="BG140" s="11">
        <f>Table14[[#This Row],[Chinese_Voters_GE15]]/Table14[[#This Row],[All_Voters_GE15]]</f>
        <v>0.15428030932978545</v>
      </c>
      <c r="BH140" s="14">
        <v>9741</v>
      </c>
      <c r="BI140" s="11">
        <f>Table14[[#This Row],[India_Voters_GE15]]/Table14[[#This Row],[All_Voters_GE15]]</f>
        <v>0.10124937635123898</v>
      </c>
      <c r="BJ140" s="14">
        <v>138</v>
      </c>
      <c r="BK140" s="14">
        <v>95</v>
      </c>
      <c r="BL140" s="14">
        <v>71</v>
      </c>
      <c r="BM140" s="14">
        <v>164</v>
      </c>
      <c r="BN140" s="14">
        <f>Table14[[#This Row],[Lain_Voters_GE15]]+Table14[[#This Row],[Swak_Voters_GE15]]+Table14[[#This Row],[Sabah_Voters_GE15]]+Table14[[#This Row],[OA_Voters_GE15]]</f>
        <v>468</v>
      </c>
      <c r="BO140" s="11">
        <f>Table14[[#This Row],[Base_Stock_GE15]]/Table14[[#This Row],[All_Voters_GE15]]</f>
        <v>0.42648220522201896</v>
      </c>
      <c r="BP140" s="14">
        <v>34654</v>
      </c>
      <c r="BQ140" s="10">
        <v>26180</v>
      </c>
      <c r="BR140" s="44">
        <v>17387</v>
      </c>
      <c r="BS140" s="10">
        <v>5585</v>
      </c>
      <c r="BT140" s="10">
        <v>43861</v>
      </c>
      <c r="BU140" s="10">
        <v>30051</v>
      </c>
      <c r="BV140" s="10">
        <v>16711</v>
      </c>
      <c r="BW140" s="10">
        <f t="shared" si="40"/>
        <v>49446</v>
      </c>
      <c r="BX140" s="10">
        <f t="shared" si="41"/>
        <v>46762</v>
      </c>
      <c r="BY140" s="14">
        <v>100298</v>
      </c>
      <c r="BZ140" s="14">
        <v>0</v>
      </c>
      <c r="CA140" s="14">
        <v>287</v>
      </c>
      <c r="CB140" s="14">
        <v>100011</v>
      </c>
      <c r="CC140" s="14">
        <v>75036</v>
      </c>
      <c r="CD140" s="14">
        <v>14705</v>
      </c>
      <c r="CE140" s="14">
        <v>10030</v>
      </c>
      <c r="CF140" s="14">
        <v>141</v>
      </c>
      <c r="CG140" s="14">
        <v>107</v>
      </c>
      <c r="CH140" s="14">
        <v>96</v>
      </c>
      <c r="CI140" s="14">
        <v>183</v>
      </c>
      <c r="CJ140" s="14">
        <f t="shared" si="42"/>
        <v>527</v>
      </c>
      <c r="CK140" s="14">
        <v>48896</v>
      </c>
      <c r="CL140" s="14">
        <v>51402</v>
      </c>
      <c r="CM140" s="14">
        <v>48113</v>
      </c>
      <c r="CN140" s="11">
        <f t="shared" si="43"/>
        <v>0.47970049253225389</v>
      </c>
      <c r="CO140" s="14">
        <v>52185</v>
      </c>
      <c r="CP140" s="11">
        <f t="shared" si="44"/>
        <v>0.52029950746774611</v>
      </c>
      <c r="CQ140" s="29">
        <v>1877</v>
      </c>
      <c r="CR140" s="29">
        <v>13324</v>
      </c>
      <c r="CS140" s="29">
        <v>8683</v>
      </c>
      <c r="CT140" s="29">
        <v>5023</v>
      </c>
      <c r="CU140" s="47">
        <v>4796</v>
      </c>
      <c r="CV140" s="47">
        <v>1489</v>
      </c>
      <c r="CW140" s="47">
        <v>2118</v>
      </c>
      <c r="CX140" s="47">
        <v>773</v>
      </c>
      <c r="CY140" s="47">
        <v>416</v>
      </c>
      <c r="CZ140" s="47">
        <v>26</v>
      </c>
      <c r="DA140" s="47">
        <v>26</v>
      </c>
      <c r="DB140" s="47">
        <v>26</v>
      </c>
      <c r="DC140" s="47">
        <v>26</v>
      </c>
    </row>
    <row r="141" spans="1:107" x14ac:dyDescent="0.35">
      <c r="A141" s="1" t="s">
        <v>965</v>
      </c>
      <c r="B141" s="5" t="s">
        <v>0</v>
      </c>
      <c r="C141" s="3" t="s">
        <v>966</v>
      </c>
      <c r="D141" s="4" t="s">
        <v>967</v>
      </c>
      <c r="E141" s="5">
        <v>2</v>
      </c>
      <c r="F141" s="5">
        <v>43</v>
      </c>
      <c r="G141" s="2">
        <v>0.74098904267589394</v>
      </c>
      <c r="H141" s="2" t="s">
        <v>1276</v>
      </c>
      <c r="I141" s="17" t="s">
        <v>121</v>
      </c>
      <c r="J14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YUNESWARAN A/L RAMARAJ </v>
      </c>
      <c r="K141" s="8">
        <v>17768</v>
      </c>
      <c r="L141" s="8" t="s">
        <v>137</v>
      </c>
      <c r="M141" s="7" t="s">
        <v>969</v>
      </c>
      <c r="N141" s="8">
        <v>23437</v>
      </c>
      <c r="O141" s="8" t="s">
        <v>23</v>
      </c>
      <c r="P141" s="7" t="s">
        <v>968</v>
      </c>
      <c r="Q141" s="8">
        <v>8385</v>
      </c>
      <c r="R141" s="8" t="s">
        <v>370</v>
      </c>
      <c r="S141" s="7" t="s">
        <v>970</v>
      </c>
      <c r="T141" s="10">
        <v>5669</v>
      </c>
      <c r="U141" s="10">
        <v>0</v>
      </c>
      <c r="V141" s="10">
        <v>1</v>
      </c>
      <c r="W141" s="10">
        <v>0</v>
      </c>
      <c r="X141" s="10">
        <v>26593</v>
      </c>
      <c r="Y141" s="12" t="s">
        <v>26</v>
      </c>
      <c r="Z141" s="12" t="s">
        <v>1277</v>
      </c>
      <c r="AA141" s="13" t="s">
        <v>971</v>
      </c>
      <c r="AB141" s="14">
        <v>5476</v>
      </c>
      <c r="AC141" s="15" t="s">
        <v>126</v>
      </c>
      <c r="AD141" s="16">
        <v>30666</v>
      </c>
      <c r="AE141" s="14">
        <v>18584</v>
      </c>
      <c r="AF141" s="14">
        <v>2676</v>
      </c>
      <c r="AG141" s="14">
        <v>24060</v>
      </c>
      <c r="AH141" s="14" t="s">
        <v>456</v>
      </c>
      <c r="AI141" s="15" t="s">
        <v>29</v>
      </c>
      <c r="AJ141" s="14">
        <v>0</v>
      </c>
      <c r="AK141" s="14">
        <v>1</v>
      </c>
      <c r="AL141" s="14">
        <v>0</v>
      </c>
      <c r="AM141" s="51">
        <v>55350</v>
      </c>
      <c r="AN141" s="51">
        <v>25549</v>
      </c>
      <c r="AO141" s="51">
        <v>23674</v>
      </c>
      <c r="AP141" s="51">
        <v>5592</v>
      </c>
      <c r="AQ141" s="51">
        <v>117</v>
      </c>
      <c r="AR141" s="51">
        <v>186</v>
      </c>
      <c r="AS141" s="51">
        <v>177</v>
      </c>
      <c r="AT141" s="51">
        <v>55</v>
      </c>
      <c r="AU141" s="51">
        <v>27835</v>
      </c>
      <c r="AV141" s="51">
        <v>27515</v>
      </c>
      <c r="AW141" s="51">
        <v>20964</v>
      </c>
      <c r="AX141" s="51">
        <v>34386</v>
      </c>
      <c r="AY141" s="14">
        <v>18180.666666666668</v>
      </c>
      <c r="AZ141" s="14">
        <v>69360</v>
      </c>
      <c r="BA141" s="14">
        <v>6</v>
      </c>
      <c r="BB141" s="14">
        <v>887</v>
      </c>
      <c r="BC141" s="14">
        <v>68467</v>
      </c>
      <c r="BD141" s="14">
        <v>32835</v>
      </c>
      <c r="BE141" s="11">
        <f>Table14[[#This Row],[Melayu_Voters_GE15]]/Table14[[#This Row],[All_Voters_GE15]]</f>
        <v>0.47339965397923878</v>
      </c>
      <c r="BF141" s="14">
        <v>29599</v>
      </c>
      <c r="BG141" s="11">
        <f>Table14[[#This Row],[Chinese_Voters_GE15]]/Table14[[#This Row],[All_Voters_GE15]]</f>
        <v>0.42674452133794694</v>
      </c>
      <c r="BH141" s="14">
        <v>6455</v>
      </c>
      <c r="BI141" s="11">
        <f>Table14[[#This Row],[India_Voters_GE15]]/Table14[[#This Row],[All_Voters_GE15]]</f>
        <v>9.3065167243367941E-2</v>
      </c>
      <c r="BJ141" s="14">
        <v>115</v>
      </c>
      <c r="BK141" s="14">
        <v>123</v>
      </c>
      <c r="BL141" s="14">
        <v>124</v>
      </c>
      <c r="BM141" s="14">
        <v>109</v>
      </c>
      <c r="BN141" s="14">
        <f>Table14[[#This Row],[Lain_Voters_GE15]]+Table14[[#This Row],[Swak_Voters_GE15]]+Table14[[#This Row],[Sabah_Voters_GE15]]+Table14[[#This Row],[OA_Voters_GE15]]</f>
        <v>471</v>
      </c>
      <c r="BO141" s="11">
        <f>Table14[[#This Row],[Base_Stock_GE15]]/Table14[[#This Row],[All_Voters_GE15]]</f>
        <v>0.3834054209919262</v>
      </c>
      <c r="BP141" s="14">
        <v>18812</v>
      </c>
      <c r="BQ141" s="10">
        <v>18804</v>
      </c>
      <c r="BR141" s="44">
        <v>9672</v>
      </c>
      <c r="BS141" s="10">
        <v>3010</v>
      </c>
      <c r="BT141" s="10">
        <v>29890</v>
      </c>
      <c r="BU141" s="10">
        <v>21123</v>
      </c>
      <c r="BV141" s="10">
        <v>15337</v>
      </c>
      <c r="BW141" s="10">
        <f t="shared" si="40"/>
        <v>32900</v>
      </c>
      <c r="BX141" s="10">
        <f t="shared" si="41"/>
        <v>36460</v>
      </c>
      <c r="BY141" s="14">
        <v>70132</v>
      </c>
      <c r="BZ141" s="14">
        <v>0</v>
      </c>
      <c r="CA141" s="14">
        <v>1343</v>
      </c>
      <c r="CB141" s="14">
        <v>68789</v>
      </c>
      <c r="CC141" s="14">
        <v>33929</v>
      </c>
      <c r="CD141" s="14">
        <v>29306</v>
      </c>
      <c r="CE141" s="14">
        <v>6248</v>
      </c>
      <c r="CF141" s="14">
        <v>121</v>
      </c>
      <c r="CG141" s="14">
        <v>98</v>
      </c>
      <c r="CH141" s="14">
        <v>100</v>
      </c>
      <c r="CI141" s="14">
        <v>330</v>
      </c>
      <c r="CJ141" s="14">
        <f t="shared" si="42"/>
        <v>649</v>
      </c>
      <c r="CK141" s="14">
        <v>35359</v>
      </c>
      <c r="CL141" s="14">
        <v>34773</v>
      </c>
      <c r="CM141" s="14">
        <v>30955</v>
      </c>
      <c r="CN141" s="11">
        <f t="shared" si="43"/>
        <v>0.44138196543660524</v>
      </c>
      <c r="CO141" s="14">
        <v>39177</v>
      </c>
      <c r="CP141" s="11">
        <f t="shared" si="44"/>
        <v>0.55861803456339476</v>
      </c>
      <c r="CQ141" s="29">
        <v>869</v>
      </c>
      <c r="CR141" s="29">
        <v>7014</v>
      </c>
      <c r="CS141" s="29">
        <v>5026</v>
      </c>
      <c r="CT141" s="29">
        <v>2857</v>
      </c>
      <c r="CU141" s="47">
        <v>3332</v>
      </c>
      <c r="CV141" s="47">
        <v>1072</v>
      </c>
      <c r="CW141" s="47">
        <v>1662</v>
      </c>
      <c r="CX141" s="47">
        <v>369</v>
      </c>
      <c r="CY141" s="47">
        <v>229</v>
      </c>
      <c r="CZ141" s="47">
        <v>14</v>
      </c>
      <c r="DA141" s="47">
        <v>14</v>
      </c>
      <c r="DB141" s="47">
        <v>14</v>
      </c>
      <c r="DC141" s="47">
        <v>14</v>
      </c>
    </row>
    <row r="142" spans="1:107" x14ac:dyDescent="0.35">
      <c r="A142" s="1" t="s">
        <v>965</v>
      </c>
      <c r="B142" s="5" t="s">
        <v>0</v>
      </c>
      <c r="C142" s="3" t="s">
        <v>972</v>
      </c>
      <c r="D142" s="4" t="s">
        <v>973</v>
      </c>
      <c r="E142" s="5">
        <v>2</v>
      </c>
      <c r="F142" s="5">
        <v>26</v>
      </c>
      <c r="G142" s="2">
        <v>0.76357043497288257</v>
      </c>
      <c r="H142" s="2" t="s">
        <v>1276</v>
      </c>
      <c r="I142" s="25" t="s">
        <v>7</v>
      </c>
      <c r="J14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ZALIHA BINTI MUSTAFA </v>
      </c>
      <c r="K142" s="8">
        <v>17207</v>
      </c>
      <c r="L142" s="8" t="s">
        <v>8</v>
      </c>
      <c r="M142" s="7" t="s">
        <v>975</v>
      </c>
      <c r="N142" s="8">
        <v>18941</v>
      </c>
      <c r="O142" s="8" t="s">
        <v>23</v>
      </c>
      <c r="P142" s="7" t="s">
        <v>974</v>
      </c>
      <c r="Q142" s="8">
        <v>11612</v>
      </c>
      <c r="R142" s="8" t="s">
        <v>25</v>
      </c>
      <c r="S142" s="7" t="s">
        <v>976</v>
      </c>
      <c r="T142" s="10">
        <v>1734</v>
      </c>
      <c r="U142" s="10">
        <v>0</v>
      </c>
      <c r="V142" s="10">
        <v>1</v>
      </c>
      <c r="W142" s="10">
        <v>0</v>
      </c>
      <c r="X142" s="10">
        <v>23068</v>
      </c>
      <c r="Y142" s="12" t="s">
        <v>26</v>
      </c>
      <c r="Z142" s="12" t="s">
        <v>1277</v>
      </c>
      <c r="AA142" s="13" t="s">
        <v>977</v>
      </c>
      <c r="AB142" s="14">
        <v>1281</v>
      </c>
      <c r="AC142" s="15" t="s">
        <v>699</v>
      </c>
      <c r="AD142" s="16">
        <v>25507</v>
      </c>
      <c r="AE142" s="14">
        <v>18278</v>
      </c>
      <c r="AF142" s="14"/>
      <c r="AG142" s="14">
        <v>19559</v>
      </c>
      <c r="AH142" s="14" t="s">
        <v>17</v>
      </c>
      <c r="AI142" s="15" t="s">
        <v>29</v>
      </c>
      <c r="AJ142" s="14">
        <v>0</v>
      </c>
      <c r="AK142" s="14">
        <v>1</v>
      </c>
      <c r="AL142" s="14">
        <v>0</v>
      </c>
      <c r="AM142" s="51">
        <v>45596</v>
      </c>
      <c r="AN142" s="51">
        <v>27010</v>
      </c>
      <c r="AO142" s="51">
        <v>16484</v>
      </c>
      <c r="AP142" s="51">
        <v>1832</v>
      </c>
      <c r="AQ142" s="51">
        <v>153</v>
      </c>
      <c r="AR142" s="51">
        <v>18</v>
      </c>
      <c r="AS142" s="51">
        <v>19</v>
      </c>
      <c r="AT142" s="51">
        <v>80</v>
      </c>
      <c r="AU142" s="51">
        <v>22361</v>
      </c>
      <c r="AV142" s="51">
        <v>23235</v>
      </c>
      <c r="AW142" s="51">
        <v>18131</v>
      </c>
      <c r="AX142" s="51">
        <v>27465</v>
      </c>
      <c r="AY142" s="14">
        <v>18730.333333333332</v>
      </c>
      <c r="AZ142" s="14">
        <v>63981</v>
      </c>
      <c r="BA142" s="14">
        <v>3</v>
      </c>
      <c r="BB142" s="14">
        <v>0</v>
      </c>
      <c r="BC142" s="14">
        <v>63978</v>
      </c>
      <c r="BD142" s="14">
        <v>37394</v>
      </c>
      <c r="BE142" s="11">
        <f>Table14[[#This Row],[Melayu_Voters_GE15]]/Table14[[#This Row],[All_Voters_GE15]]</f>
        <v>0.58445476000687702</v>
      </c>
      <c r="BF142" s="14">
        <v>23358</v>
      </c>
      <c r="BG142" s="11">
        <f>Table14[[#This Row],[Chinese_Voters_GE15]]/Table14[[#This Row],[All_Voters_GE15]]</f>
        <v>0.36507713227364375</v>
      </c>
      <c r="BH142" s="14">
        <v>2616</v>
      </c>
      <c r="BI142" s="11">
        <f>Table14[[#This Row],[India_Voters_GE15]]/Table14[[#This Row],[All_Voters_GE15]]</f>
        <v>4.0887138369203359E-2</v>
      </c>
      <c r="BJ142" s="14">
        <v>205</v>
      </c>
      <c r="BK142" s="14">
        <v>49</v>
      </c>
      <c r="BL142" s="14">
        <v>51</v>
      </c>
      <c r="BM142" s="14">
        <v>308</v>
      </c>
      <c r="BN142" s="14">
        <f>Table14[[#This Row],[Lain_Voters_GE15]]+Table14[[#This Row],[Swak_Voters_GE15]]+Table14[[#This Row],[Sabah_Voters_GE15]]+Table14[[#This Row],[OA_Voters_GE15]]</f>
        <v>613</v>
      </c>
      <c r="BO142" s="11">
        <f>Table14[[#This Row],[Base_Stock_GE15]]/Table14[[#This Row],[All_Voters_GE15]]</f>
        <v>0.36054453665932074</v>
      </c>
      <c r="BP142" s="14">
        <v>18579</v>
      </c>
      <c r="BQ142" s="10">
        <v>20552</v>
      </c>
      <c r="BR142" s="44">
        <v>10796</v>
      </c>
      <c r="BS142" s="10">
        <v>3459</v>
      </c>
      <c r="BT142" s="10">
        <v>29634</v>
      </c>
      <c r="BU142" s="10">
        <v>19183</v>
      </c>
      <c r="BV142" s="10">
        <v>11705</v>
      </c>
      <c r="BW142" s="10">
        <f t="shared" si="40"/>
        <v>33093</v>
      </c>
      <c r="BX142" s="10">
        <f t="shared" si="41"/>
        <v>30888</v>
      </c>
      <c r="BY142" s="14">
        <v>65721</v>
      </c>
      <c r="BZ142" s="14">
        <v>0</v>
      </c>
      <c r="CA142" s="14">
        <v>0</v>
      </c>
      <c r="CB142" s="14">
        <v>65721</v>
      </c>
      <c r="CC142" s="14">
        <v>38923</v>
      </c>
      <c r="CD142" s="14">
        <v>23423</v>
      </c>
      <c r="CE142" s="14">
        <v>2671</v>
      </c>
      <c r="CF142" s="14">
        <v>231</v>
      </c>
      <c r="CG142" s="14">
        <v>49</v>
      </c>
      <c r="CH142" s="14">
        <v>52</v>
      </c>
      <c r="CI142" s="14">
        <v>372</v>
      </c>
      <c r="CJ142" s="14">
        <f t="shared" si="42"/>
        <v>704</v>
      </c>
      <c r="CK142" s="14">
        <v>32519</v>
      </c>
      <c r="CL142" s="14">
        <v>33202</v>
      </c>
      <c r="CM142" s="14">
        <v>31271</v>
      </c>
      <c r="CN142" s="11">
        <f t="shared" si="43"/>
        <v>0.47581442765630466</v>
      </c>
      <c r="CO142" s="14">
        <v>34450</v>
      </c>
      <c r="CP142" s="11">
        <f t="shared" si="44"/>
        <v>0.52418557234369534</v>
      </c>
      <c r="CQ142" s="29">
        <v>1306</v>
      </c>
      <c r="CR142" s="29">
        <v>16237</v>
      </c>
      <c r="CS142" s="29">
        <v>12549</v>
      </c>
      <c r="CT142" s="29">
        <v>10915</v>
      </c>
      <c r="CU142" s="47">
        <v>6488</v>
      </c>
      <c r="CV142" s="47">
        <v>2509</v>
      </c>
      <c r="CW142" s="47">
        <v>3024</v>
      </c>
      <c r="CX142" s="47">
        <v>736</v>
      </c>
      <c r="CY142" s="47">
        <v>219</v>
      </c>
      <c r="CZ142" s="46">
        <v>25</v>
      </c>
      <c r="DA142" s="47">
        <v>29</v>
      </c>
      <c r="DB142" s="47">
        <v>29</v>
      </c>
      <c r="DC142" s="47">
        <v>27</v>
      </c>
    </row>
    <row r="143" spans="1:107" x14ac:dyDescent="0.35">
      <c r="A143" s="1" t="s">
        <v>965</v>
      </c>
      <c r="B143" s="5" t="s">
        <v>0</v>
      </c>
      <c r="C143" s="3" t="s">
        <v>978</v>
      </c>
      <c r="D143" s="4" t="s">
        <v>979</v>
      </c>
      <c r="E143" s="5">
        <v>2</v>
      </c>
      <c r="F143" s="5">
        <v>34</v>
      </c>
      <c r="G143" s="2">
        <v>0.7075994061710067</v>
      </c>
      <c r="H143" s="2" t="s">
        <v>1276</v>
      </c>
      <c r="I143" s="25" t="s">
        <v>7</v>
      </c>
      <c r="J14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PANG HOK LIONG </v>
      </c>
      <c r="K143" s="8">
        <v>13300</v>
      </c>
      <c r="L143" s="8" t="s">
        <v>77</v>
      </c>
      <c r="M143" s="7" t="s">
        <v>981</v>
      </c>
      <c r="N143" s="8">
        <v>16133</v>
      </c>
      <c r="O143" s="8" t="s">
        <v>102</v>
      </c>
      <c r="P143" s="7" t="s">
        <v>980</v>
      </c>
      <c r="Q143" s="8">
        <v>5312</v>
      </c>
      <c r="R143" s="8" t="s">
        <v>370</v>
      </c>
      <c r="S143" s="7" t="s">
        <v>982</v>
      </c>
      <c r="T143" s="10">
        <v>2833</v>
      </c>
      <c r="U143" s="10">
        <v>0</v>
      </c>
      <c r="V143" s="10">
        <v>1</v>
      </c>
      <c r="W143" s="10">
        <v>0</v>
      </c>
      <c r="X143" s="10">
        <v>14965</v>
      </c>
      <c r="Y143" s="12" t="s">
        <v>319</v>
      </c>
      <c r="Z143" s="12" t="s">
        <v>1277</v>
      </c>
      <c r="AA143" s="13" t="s">
        <v>983</v>
      </c>
      <c r="AB143" s="14">
        <v>3408</v>
      </c>
      <c r="AC143" s="15" t="s">
        <v>584</v>
      </c>
      <c r="AD143" s="16">
        <v>21886</v>
      </c>
      <c r="AE143" s="14">
        <v>13301</v>
      </c>
      <c r="AF143" s="14">
        <v>2020</v>
      </c>
      <c r="AG143" s="14">
        <v>16709</v>
      </c>
      <c r="AH143" s="14" t="s">
        <v>82</v>
      </c>
      <c r="AI143" s="15" t="s">
        <v>321</v>
      </c>
      <c r="AJ143" s="14">
        <v>0</v>
      </c>
      <c r="AK143" s="14">
        <v>1</v>
      </c>
      <c r="AL143" s="14">
        <v>0</v>
      </c>
      <c r="AM143" s="51">
        <v>40356</v>
      </c>
      <c r="AN143" s="51">
        <v>15325</v>
      </c>
      <c r="AO143" s="51">
        <v>18135</v>
      </c>
      <c r="AP143" s="51">
        <v>5932</v>
      </c>
      <c r="AQ143" s="51">
        <v>88</v>
      </c>
      <c r="AR143" s="51">
        <v>34</v>
      </c>
      <c r="AS143" s="51">
        <v>17</v>
      </c>
      <c r="AT143" s="51">
        <v>825</v>
      </c>
      <c r="AU143" s="51">
        <v>20167</v>
      </c>
      <c r="AV143" s="51">
        <v>20189</v>
      </c>
      <c r="AW143" s="51">
        <v>14159</v>
      </c>
      <c r="AX143" s="51">
        <v>26197</v>
      </c>
      <c r="AY143" s="14">
        <v>14260</v>
      </c>
      <c r="AZ143" s="14">
        <v>49846</v>
      </c>
      <c r="BA143" s="14">
        <v>3</v>
      </c>
      <c r="BB143" s="14">
        <v>41</v>
      </c>
      <c r="BC143" s="14">
        <v>49802</v>
      </c>
      <c r="BD143" s="14">
        <v>19120</v>
      </c>
      <c r="BE143" s="11">
        <f>Table14[[#This Row],[Melayu_Voters_GE15]]/Table14[[#This Row],[All_Voters_GE15]]</f>
        <v>0.38358143080688523</v>
      </c>
      <c r="BF143" s="14">
        <v>21723</v>
      </c>
      <c r="BG143" s="11">
        <f>Table14[[#This Row],[Chinese_Voters_GE15]]/Table14[[#This Row],[All_Voters_GE15]]</f>
        <v>0.43580227099466357</v>
      </c>
      <c r="BH143" s="14">
        <v>7680</v>
      </c>
      <c r="BI143" s="11">
        <f>Table14[[#This Row],[India_Voters_GE15]]/Table14[[#This Row],[All_Voters_GE15]]</f>
        <v>0.15407454961280745</v>
      </c>
      <c r="BJ143" s="14">
        <v>1163</v>
      </c>
      <c r="BK143" s="14">
        <v>70</v>
      </c>
      <c r="BL143" s="14">
        <v>25</v>
      </c>
      <c r="BM143" s="14">
        <v>65</v>
      </c>
      <c r="BN143" s="14">
        <f>Table14[[#This Row],[Lain_Voters_GE15]]+Table14[[#This Row],[Swak_Voters_GE15]]+Table14[[#This Row],[Sabah_Voters_GE15]]+Table14[[#This Row],[OA_Voters_GE15]]</f>
        <v>1323</v>
      </c>
      <c r="BO143" s="11">
        <f>Table14[[#This Row],[Base_Stock_GE15]]/Table14[[#This Row],[All_Voters_GE15]]</f>
        <v>0.30022469205151869</v>
      </c>
      <c r="BP143" s="14">
        <v>8642</v>
      </c>
      <c r="BQ143" s="10">
        <v>12328</v>
      </c>
      <c r="BR143" s="44">
        <v>6856</v>
      </c>
      <c r="BS143" s="10">
        <v>2162</v>
      </c>
      <c r="BT143" s="10">
        <v>20201</v>
      </c>
      <c r="BU143" s="10">
        <v>16664</v>
      </c>
      <c r="BV143" s="10">
        <v>10819</v>
      </c>
      <c r="BW143" s="10">
        <f t="shared" si="40"/>
        <v>22363</v>
      </c>
      <c r="BX143" s="10">
        <f t="shared" si="41"/>
        <v>27483</v>
      </c>
      <c r="BY143" s="14">
        <v>49869</v>
      </c>
      <c r="BZ143" s="14">
        <v>0</v>
      </c>
      <c r="CA143" s="14">
        <v>54</v>
      </c>
      <c r="CB143" s="14">
        <v>49815</v>
      </c>
      <c r="CC143" s="14">
        <v>19574</v>
      </c>
      <c r="CD143" s="14">
        <v>21236</v>
      </c>
      <c r="CE143" s="14">
        <v>7646</v>
      </c>
      <c r="CF143" s="14">
        <v>1181</v>
      </c>
      <c r="CG143" s="14">
        <v>69</v>
      </c>
      <c r="CH143" s="14">
        <v>24</v>
      </c>
      <c r="CI143" s="14">
        <v>139</v>
      </c>
      <c r="CJ143" s="14">
        <f t="shared" si="42"/>
        <v>1413</v>
      </c>
      <c r="CK143" s="14">
        <v>25061</v>
      </c>
      <c r="CL143" s="14">
        <v>24808</v>
      </c>
      <c r="CM143" s="14">
        <v>20732</v>
      </c>
      <c r="CN143" s="11">
        <f t="shared" si="43"/>
        <v>0.41572921053159279</v>
      </c>
      <c r="CO143" s="14">
        <v>29137</v>
      </c>
      <c r="CP143" s="11">
        <f t="shared" si="44"/>
        <v>0.58427078946840727</v>
      </c>
      <c r="CQ143" s="29">
        <v>1675</v>
      </c>
      <c r="CR143" s="29">
        <v>16379</v>
      </c>
      <c r="CS143" s="29">
        <v>10651</v>
      </c>
      <c r="CT143" s="29">
        <v>6153</v>
      </c>
      <c r="CU143" s="47">
        <v>5725</v>
      </c>
      <c r="CV143" s="47">
        <v>1987</v>
      </c>
      <c r="CW143" s="47">
        <v>2720</v>
      </c>
      <c r="CX143" s="47">
        <v>671</v>
      </c>
      <c r="CY143" s="47">
        <v>347</v>
      </c>
      <c r="CZ143" s="46">
        <v>26</v>
      </c>
      <c r="DA143" s="47">
        <v>27</v>
      </c>
      <c r="DB143" s="47">
        <v>27</v>
      </c>
      <c r="DC143" s="47">
        <v>27</v>
      </c>
    </row>
    <row r="144" spans="1:107" x14ac:dyDescent="0.35">
      <c r="A144" s="1" t="s">
        <v>965</v>
      </c>
      <c r="B144" s="5" t="s">
        <v>0</v>
      </c>
      <c r="C144" s="3" t="s">
        <v>984</v>
      </c>
      <c r="D144" s="4" t="s">
        <v>985</v>
      </c>
      <c r="E144" s="5">
        <v>2</v>
      </c>
      <c r="F144" s="5">
        <v>47</v>
      </c>
      <c r="G144" s="2">
        <v>0.78544159910779399</v>
      </c>
      <c r="H144" s="2" t="s">
        <v>1276</v>
      </c>
      <c r="I144" s="25" t="s">
        <v>4</v>
      </c>
      <c r="J14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TAN SRI MUHYIDDIN BIN MD YASIN </v>
      </c>
      <c r="K144" s="8">
        <v>14426</v>
      </c>
      <c r="L144" s="8" t="s">
        <v>8</v>
      </c>
      <c r="M144" s="7" t="s">
        <v>987</v>
      </c>
      <c r="N144" s="8">
        <v>14979</v>
      </c>
      <c r="O144" s="8" t="s">
        <v>23</v>
      </c>
      <c r="P144" s="7" t="s">
        <v>988</v>
      </c>
      <c r="Q144" s="8">
        <v>24986</v>
      </c>
      <c r="R144" s="8" t="s">
        <v>25</v>
      </c>
      <c r="S144" s="7" t="s">
        <v>986</v>
      </c>
      <c r="T144" s="10">
        <v>10007</v>
      </c>
      <c r="U144" s="10">
        <v>0</v>
      </c>
      <c r="V144" s="10">
        <v>0</v>
      </c>
      <c r="W144" s="10">
        <v>1</v>
      </c>
      <c r="X144" s="10">
        <v>20481</v>
      </c>
      <c r="Y144" s="12" t="s">
        <v>43</v>
      </c>
      <c r="Z144" s="12" t="s">
        <v>1277</v>
      </c>
      <c r="AA144" s="13" t="s">
        <v>989</v>
      </c>
      <c r="AB144" s="14">
        <v>6927</v>
      </c>
      <c r="AC144" s="15" t="s">
        <v>291</v>
      </c>
      <c r="AD144" s="16">
        <v>31076</v>
      </c>
      <c r="AE144" s="14">
        <v>16631</v>
      </c>
      <c r="AF144" s="14">
        <v>2483</v>
      </c>
      <c r="AG144" s="14">
        <v>23558</v>
      </c>
      <c r="AH144" s="14" t="s">
        <v>17</v>
      </c>
      <c r="AI144" s="15" t="s">
        <v>18</v>
      </c>
      <c r="AJ144" s="14">
        <v>0</v>
      </c>
      <c r="AK144" s="14">
        <v>1</v>
      </c>
      <c r="AL144" s="14">
        <v>0</v>
      </c>
      <c r="AM144" s="51">
        <v>51512</v>
      </c>
      <c r="AN144" s="51">
        <v>33973</v>
      </c>
      <c r="AO144" s="51">
        <v>15328</v>
      </c>
      <c r="AP144" s="51">
        <v>1917</v>
      </c>
      <c r="AQ144" s="51">
        <v>72</v>
      </c>
      <c r="AR144" s="51">
        <v>28</v>
      </c>
      <c r="AS144" s="51">
        <v>18</v>
      </c>
      <c r="AT144" s="51">
        <v>176</v>
      </c>
      <c r="AU144" s="51">
        <v>25276</v>
      </c>
      <c r="AV144" s="51">
        <v>26236</v>
      </c>
      <c r="AW144" s="51">
        <v>19266</v>
      </c>
      <c r="AX144" s="51">
        <v>32246</v>
      </c>
      <c r="AY144" s="14">
        <v>21311</v>
      </c>
      <c r="AZ144" s="14">
        <v>69939</v>
      </c>
      <c r="BA144" s="14">
        <v>1</v>
      </c>
      <c r="BB144" s="14">
        <v>103</v>
      </c>
      <c r="BC144" s="14">
        <v>69835</v>
      </c>
      <c r="BD144" s="14">
        <v>46557</v>
      </c>
      <c r="BE144" s="11">
        <f>Table14[[#This Row],[Melayu_Voters_GE15]]/Table14[[#This Row],[All_Voters_GE15]]</f>
        <v>0.66568009265216832</v>
      </c>
      <c r="BF144" s="14">
        <v>20429</v>
      </c>
      <c r="BG144" s="11">
        <f>Table14[[#This Row],[Chinese_Voters_GE15]]/Table14[[#This Row],[All_Voters_GE15]]</f>
        <v>0.29209739916212701</v>
      </c>
      <c r="BH144" s="14">
        <v>2388</v>
      </c>
      <c r="BI144" s="11">
        <f>Table14[[#This Row],[India_Voters_GE15]]/Table14[[#This Row],[All_Voters_GE15]]</f>
        <v>3.4144039806116758E-2</v>
      </c>
      <c r="BJ144" s="14">
        <v>409</v>
      </c>
      <c r="BK144" s="14">
        <v>66</v>
      </c>
      <c r="BL144" s="14">
        <v>34</v>
      </c>
      <c r="BM144" s="14">
        <v>56</v>
      </c>
      <c r="BN144" s="14">
        <f>Table14[[#This Row],[Lain_Voters_GE15]]+Table14[[#This Row],[Swak_Voters_GE15]]+Table14[[#This Row],[Sabah_Voters_GE15]]+Table14[[#This Row],[OA_Voters_GE15]]</f>
        <v>565</v>
      </c>
      <c r="BO144" s="11">
        <f>Table14[[#This Row],[Base_Stock_GE15]]/Table14[[#This Row],[All_Voters_GE15]]</f>
        <v>0.29284090421653153</v>
      </c>
      <c r="BP144" s="14">
        <v>17277</v>
      </c>
      <c r="BQ144" s="10">
        <v>21400</v>
      </c>
      <c r="BR144" s="44">
        <v>11607</v>
      </c>
      <c r="BS144" s="10">
        <v>3610</v>
      </c>
      <c r="BT144" s="10">
        <v>31471</v>
      </c>
      <c r="BU144" s="10">
        <v>21476</v>
      </c>
      <c r="BV144" s="10">
        <v>13382</v>
      </c>
      <c r="BW144" s="10">
        <f t="shared" si="40"/>
        <v>35081</v>
      </c>
      <c r="BX144" s="10">
        <f t="shared" si="41"/>
        <v>34858</v>
      </c>
      <c r="BY144" s="14">
        <v>71680</v>
      </c>
      <c r="BZ144" s="14">
        <v>0</v>
      </c>
      <c r="CA144" s="14">
        <v>107</v>
      </c>
      <c r="CB144" s="14">
        <v>71573</v>
      </c>
      <c r="CC144" s="14">
        <v>48078</v>
      </c>
      <c r="CD144" s="14">
        <v>20543</v>
      </c>
      <c r="CE144" s="14">
        <v>2427</v>
      </c>
      <c r="CF144" s="14">
        <v>418</v>
      </c>
      <c r="CG144" s="14">
        <v>69</v>
      </c>
      <c r="CH144" s="14">
        <v>34</v>
      </c>
      <c r="CI144" s="14">
        <v>111</v>
      </c>
      <c r="CJ144" s="14">
        <f t="shared" si="42"/>
        <v>632</v>
      </c>
      <c r="CK144" s="14">
        <v>35731</v>
      </c>
      <c r="CL144" s="14">
        <v>35949</v>
      </c>
      <c r="CM144" s="14">
        <v>33427</v>
      </c>
      <c r="CN144" s="11">
        <f t="shared" si="43"/>
        <v>0.46633649553571427</v>
      </c>
      <c r="CO144" s="14">
        <v>38253</v>
      </c>
      <c r="CP144" s="11">
        <f t="shared" si="44"/>
        <v>0.53366350446428568</v>
      </c>
      <c r="CQ144" s="29">
        <v>989</v>
      </c>
      <c r="CR144" s="29">
        <v>10445</v>
      </c>
      <c r="CS144" s="29">
        <v>8894</v>
      </c>
      <c r="CT144" s="29">
        <v>6876</v>
      </c>
      <c r="CU144" s="47">
        <v>4477</v>
      </c>
      <c r="CV144" s="47">
        <v>1683</v>
      </c>
      <c r="CW144" s="47">
        <v>2006</v>
      </c>
      <c r="CX144" s="47">
        <v>566</v>
      </c>
      <c r="CY144" s="47">
        <v>222</v>
      </c>
      <c r="CZ144" s="31">
        <v>59</v>
      </c>
      <c r="DA144" s="47">
        <v>26</v>
      </c>
      <c r="DB144" s="47">
        <v>25</v>
      </c>
      <c r="DC144" s="47">
        <v>25</v>
      </c>
    </row>
    <row r="145" spans="1:107" x14ac:dyDescent="0.35">
      <c r="A145" s="1" t="s">
        <v>965</v>
      </c>
      <c r="B145" s="5" t="s">
        <v>0</v>
      </c>
      <c r="C145" s="3" t="s">
        <v>990</v>
      </c>
      <c r="D145" s="4" t="s">
        <v>991</v>
      </c>
      <c r="E145" s="5">
        <v>3</v>
      </c>
      <c r="F145" s="5">
        <v>49</v>
      </c>
      <c r="G145" s="2">
        <v>0.77766621723705975</v>
      </c>
      <c r="H145" s="2" t="s">
        <v>1276</v>
      </c>
      <c r="I145" s="17" t="s">
        <v>121</v>
      </c>
      <c r="J14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SYED IBRAHIM SYED NOH </v>
      </c>
      <c r="K145" s="8">
        <v>23881</v>
      </c>
      <c r="L145" s="8" t="s">
        <v>8</v>
      </c>
      <c r="M145" s="7" t="s">
        <v>993</v>
      </c>
      <c r="N145" s="8">
        <v>33650</v>
      </c>
      <c r="O145" s="8" t="s">
        <v>23</v>
      </c>
      <c r="P145" s="7" t="s">
        <v>992</v>
      </c>
      <c r="Q145" s="8">
        <v>22292</v>
      </c>
      <c r="R145" s="8" t="s">
        <v>25</v>
      </c>
      <c r="S145" s="7" t="s">
        <v>994</v>
      </c>
      <c r="T145" s="10">
        <v>9769</v>
      </c>
      <c r="U145" s="10">
        <v>0</v>
      </c>
      <c r="V145" s="10">
        <v>1</v>
      </c>
      <c r="W145" s="10">
        <v>0</v>
      </c>
      <c r="X145" s="10">
        <v>34376</v>
      </c>
      <c r="Y145" s="12" t="s">
        <v>26</v>
      </c>
      <c r="Z145" s="12" t="s">
        <v>1277</v>
      </c>
      <c r="AA145" s="13" t="s">
        <v>995</v>
      </c>
      <c r="AB145" s="14">
        <v>8666</v>
      </c>
      <c r="AC145" s="15" t="s">
        <v>349</v>
      </c>
      <c r="AD145" s="16">
        <v>48259</v>
      </c>
      <c r="AE145" s="14">
        <v>26040</v>
      </c>
      <c r="AF145" s="14"/>
      <c r="AG145" s="14">
        <v>34706</v>
      </c>
      <c r="AH145" s="14" t="s">
        <v>17</v>
      </c>
      <c r="AI145" s="15" t="s">
        <v>29</v>
      </c>
      <c r="AJ145" s="14">
        <v>0</v>
      </c>
      <c r="AK145" s="14">
        <v>1</v>
      </c>
      <c r="AL145" s="14">
        <v>0</v>
      </c>
      <c r="AM145" s="51">
        <v>77474</v>
      </c>
      <c r="AN145" s="51">
        <v>43195</v>
      </c>
      <c r="AO145" s="51">
        <v>30240</v>
      </c>
      <c r="AP145" s="51">
        <v>3548</v>
      </c>
      <c r="AQ145" s="51">
        <v>138</v>
      </c>
      <c r="AR145" s="51">
        <v>53</v>
      </c>
      <c r="AS145" s="51">
        <v>23</v>
      </c>
      <c r="AT145" s="51">
        <v>277</v>
      </c>
      <c r="AU145" s="51">
        <v>37865</v>
      </c>
      <c r="AV145" s="51">
        <v>39609</v>
      </c>
      <c r="AW145" s="51">
        <v>29291</v>
      </c>
      <c r="AX145" s="51">
        <v>48183</v>
      </c>
      <c r="AY145" s="14">
        <v>27326</v>
      </c>
      <c r="AZ145" s="14">
        <v>104577</v>
      </c>
      <c r="BA145" s="14">
        <v>10</v>
      </c>
      <c r="BB145" s="14">
        <v>358</v>
      </c>
      <c r="BC145" s="14">
        <v>104209</v>
      </c>
      <c r="BD145" s="14">
        <v>58211</v>
      </c>
      <c r="BE145" s="11">
        <f>Table14[[#This Row],[Melayu_Voters_GE15]]/Table14[[#This Row],[All_Voters_GE15]]</f>
        <v>0.55663291163448947</v>
      </c>
      <c r="BF145" s="14">
        <v>40237</v>
      </c>
      <c r="BG145" s="11">
        <f>Table14[[#This Row],[Chinese_Voters_GE15]]/Table14[[#This Row],[All_Voters_GE15]]</f>
        <v>0.38475955516031252</v>
      </c>
      <c r="BH145" s="14">
        <v>5118</v>
      </c>
      <c r="BI145" s="11">
        <f>Table14[[#This Row],[India_Voters_GE15]]/Table14[[#This Row],[All_Voters_GE15]]</f>
        <v>4.8940015490977942E-2</v>
      </c>
      <c r="BJ145" s="14">
        <v>468</v>
      </c>
      <c r="BK145" s="14">
        <v>112</v>
      </c>
      <c r="BL145" s="14">
        <v>58</v>
      </c>
      <c r="BM145" s="14">
        <v>373</v>
      </c>
      <c r="BN145" s="14">
        <f>Table14[[#This Row],[Lain_Voters_GE15]]+Table14[[#This Row],[Swak_Voters_GE15]]+Table14[[#This Row],[Sabah_Voters_GE15]]+Table14[[#This Row],[OA_Voters_GE15]]</f>
        <v>1011</v>
      </c>
      <c r="BO145" s="11">
        <f>Table14[[#This Row],[Base_Stock_GE15]]/Table14[[#This Row],[All_Voters_GE15]]</f>
        <v>0.328714726947608</v>
      </c>
      <c r="BP145" s="14">
        <v>24369</v>
      </c>
      <c r="BQ145" s="10">
        <v>31030</v>
      </c>
      <c r="BR145" s="44">
        <v>18040</v>
      </c>
      <c r="BS145" s="10">
        <v>5869</v>
      </c>
      <c r="BT145" s="10">
        <v>46233</v>
      </c>
      <c r="BU145" s="10">
        <v>32639</v>
      </c>
      <c r="BV145" s="10">
        <v>19836</v>
      </c>
      <c r="BW145" s="10">
        <f t="shared" si="40"/>
        <v>52102</v>
      </c>
      <c r="BX145" s="10">
        <f t="shared" si="41"/>
        <v>52475</v>
      </c>
      <c r="BY145" s="14">
        <v>107282</v>
      </c>
      <c r="BZ145" s="14">
        <v>0</v>
      </c>
      <c r="CA145" s="14">
        <v>365</v>
      </c>
      <c r="CB145" s="14">
        <v>106917</v>
      </c>
      <c r="CC145" s="14">
        <v>60471</v>
      </c>
      <c r="CD145" s="14">
        <v>40456</v>
      </c>
      <c r="CE145" s="14">
        <v>5206</v>
      </c>
      <c r="CF145" s="14">
        <v>495</v>
      </c>
      <c r="CG145" s="14">
        <v>103</v>
      </c>
      <c r="CH145" s="14">
        <v>57</v>
      </c>
      <c r="CI145" s="14">
        <v>494</v>
      </c>
      <c r="CJ145" s="14">
        <f t="shared" si="42"/>
        <v>1149</v>
      </c>
      <c r="CK145" s="14">
        <v>53045</v>
      </c>
      <c r="CL145" s="14">
        <v>54237</v>
      </c>
      <c r="CM145" s="14">
        <v>50135</v>
      </c>
      <c r="CN145" s="11">
        <f t="shared" si="43"/>
        <v>0.46731977405342928</v>
      </c>
      <c r="CO145" s="14">
        <v>57147</v>
      </c>
      <c r="CP145" s="11">
        <f t="shared" si="44"/>
        <v>0.53268022594657072</v>
      </c>
      <c r="CQ145" s="29">
        <v>1664</v>
      </c>
      <c r="CR145" s="29">
        <v>15238</v>
      </c>
      <c r="CS145" s="29">
        <v>10415</v>
      </c>
      <c r="CT145" s="29">
        <v>6171</v>
      </c>
      <c r="CU145" s="47">
        <v>6736</v>
      </c>
      <c r="CV145" s="47">
        <v>2174</v>
      </c>
      <c r="CW145" s="47">
        <v>3310</v>
      </c>
      <c r="CX145" s="47">
        <v>848</v>
      </c>
      <c r="CY145" s="47">
        <v>404</v>
      </c>
      <c r="CZ145" s="31">
        <v>26</v>
      </c>
      <c r="DA145" s="47">
        <v>57</v>
      </c>
      <c r="DB145" s="47">
        <v>56</v>
      </c>
      <c r="DC145" s="47">
        <v>48</v>
      </c>
    </row>
    <row r="146" spans="1:107" x14ac:dyDescent="0.35">
      <c r="A146" s="1" t="s">
        <v>965</v>
      </c>
      <c r="B146" s="5" t="s">
        <v>0</v>
      </c>
      <c r="C146" s="3" t="s">
        <v>996</v>
      </c>
      <c r="D146" s="4" t="s">
        <v>997</v>
      </c>
      <c r="E146" s="5">
        <v>3</v>
      </c>
      <c r="F146" s="5">
        <v>34</v>
      </c>
      <c r="G146" s="2">
        <v>0.76150408383418089</v>
      </c>
      <c r="H146" s="2" t="s">
        <v>1276</v>
      </c>
      <c r="I146" s="17" t="s">
        <v>121</v>
      </c>
      <c r="J14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TAN HONG PIN </v>
      </c>
      <c r="K146" s="8">
        <v>17382</v>
      </c>
      <c r="L146" s="8" t="s">
        <v>77</v>
      </c>
      <c r="M146" s="7" t="s">
        <v>999</v>
      </c>
      <c r="N146" s="8">
        <v>36636</v>
      </c>
      <c r="O146" s="8" t="s">
        <v>102</v>
      </c>
      <c r="P146" s="7" t="s">
        <v>998</v>
      </c>
      <c r="Q146" s="8">
        <v>17222</v>
      </c>
      <c r="R146" s="8" t="s">
        <v>724</v>
      </c>
      <c r="S146" s="7" t="s">
        <v>1000</v>
      </c>
      <c r="T146" s="10">
        <v>19254</v>
      </c>
      <c r="U146" s="10">
        <v>0</v>
      </c>
      <c r="V146" s="10">
        <v>1</v>
      </c>
      <c r="W146" s="10">
        <v>0</v>
      </c>
      <c r="X146" s="10">
        <v>28553</v>
      </c>
      <c r="Y146" s="12" t="s">
        <v>319</v>
      </c>
      <c r="Z146" s="12" t="s">
        <v>1277</v>
      </c>
      <c r="AA146" s="13" t="s">
        <v>1001</v>
      </c>
      <c r="AB146" s="14">
        <v>23211</v>
      </c>
      <c r="AC146" s="15" t="s">
        <v>291</v>
      </c>
      <c r="AD146" s="16">
        <v>30145</v>
      </c>
      <c r="AE146" s="14">
        <v>15507</v>
      </c>
      <c r="AF146" s="14">
        <v>7575</v>
      </c>
      <c r="AG146" s="14">
        <v>38718</v>
      </c>
      <c r="AH146" s="14" t="s">
        <v>82</v>
      </c>
      <c r="AI146" s="15" t="s">
        <v>321</v>
      </c>
      <c r="AJ146" s="14">
        <v>0</v>
      </c>
      <c r="AK146" s="14">
        <v>1</v>
      </c>
      <c r="AL146" s="14">
        <v>0</v>
      </c>
      <c r="AM146" s="51">
        <v>73883</v>
      </c>
      <c r="AN146" s="51">
        <v>32676</v>
      </c>
      <c r="AO146" s="51">
        <v>39265</v>
      </c>
      <c r="AP146" s="51">
        <v>1604</v>
      </c>
      <c r="AQ146" s="51">
        <v>221</v>
      </c>
      <c r="AR146" s="51">
        <v>65</v>
      </c>
      <c r="AS146" s="51">
        <v>50</v>
      </c>
      <c r="AT146" s="51">
        <v>2</v>
      </c>
      <c r="AU146" s="51">
        <v>36113</v>
      </c>
      <c r="AV146" s="51">
        <v>37770</v>
      </c>
      <c r="AW146" s="51">
        <v>26407</v>
      </c>
      <c r="AX146" s="51">
        <v>47476</v>
      </c>
      <c r="AY146" s="14">
        <v>20629</v>
      </c>
      <c r="AZ146" s="14">
        <v>97335</v>
      </c>
      <c r="BA146" s="14">
        <v>10</v>
      </c>
      <c r="BB146" s="14">
        <v>917</v>
      </c>
      <c r="BC146" s="14">
        <v>96408</v>
      </c>
      <c r="BD146" s="14">
        <v>44480</v>
      </c>
      <c r="BE146" s="11">
        <f>Table14[[#This Row],[Melayu_Voters_GE15]]/Table14[[#This Row],[All_Voters_GE15]]</f>
        <v>0.45697847639595213</v>
      </c>
      <c r="BF146" s="14">
        <v>50243</v>
      </c>
      <c r="BG146" s="11">
        <f>Table14[[#This Row],[Chinese_Voters_GE15]]/Table14[[#This Row],[All_Voters_GE15]]</f>
        <v>0.51618636667180362</v>
      </c>
      <c r="BH146" s="14">
        <v>2084</v>
      </c>
      <c r="BI146" s="11">
        <f>Table14[[#This Row],[India_Voters_GE15]]/Table14[[#This Row],[All_Voters_GE15]]</f>
        <v>2.1410592284378693E-2</v>
      </c>
      <c r="BJ146" s="14">
        <v>11</v>
      </c>
      <c r="BK146" s="14">
        <v>144</v>
      </c>
      <c r="BL146" s="14">
        <v>115</v>
      </c>
      <c r="BM146" s="14">
        <v>258</v>
      </c>
      <c r="BN146" s="14">
        <f>Table14[[#This Row],[Lain_Voters_GE15]]+Table14[[#This Row],[Swak_Voters_GE15]]+Table14[[#This Row],[Sabah_Voters_GE15]]+Table14[[#This Row],[OA_Voters_GE15]]</f>
        <v>528</v>
      </c>
      <c r="BO146" s="11">
        <f>Table14[[#This Row],[Base_Stock_GE15]]/Table14[[#This Row],[All_Voters_GE15]]</f>
        <v>0.29334771664868753</v>
      </c>
      <c r="BP146" s="14">
        <v>20162</v>
      </c>
      <c r="BQ146" s="10">
        <v>27802</v>
      </c>
      <c r="BR146" s="44">
        <v>14887</v>
      </c>
      <c r="BS146" s="10">
        <v>4633</v>
      </c>
      <c r="BT146" s="10">
        <v>40971</v>
      </c>
      <c r="BU146" s="10">
        <v>31406</v>
      </c>
      <c r="BV146" s="10">
        <v>20325</v>
      </c>
      <c r="BW146" s="10">
        <f t="shared" si="40"/>
        <v>45604</v>
      </c>
      <c r="BX146" s="10">
        <f t="shared" si="41"/>
        <v>51731</v>
      </c>
      <c r="BY146" s="14">
        <v>99077</v>
      </c>
      <c r="BZ146" s="14">
        <v>0</v>
      </c>
      <c r="CA146" s="14">
        <v>968</v>
      </c>
      <c r="CB146" s="14">
        <v>98109</v>
      </c>
      <c r="CC146" s="14">
        <v>45844</v>
      </c>
      <c r="CD146" s="14">
        <v>50545</v>
      </c>
      <c r="CE146" s="14">
        <v>2089</v>
      </c>
      <c r="CF146" s="14">
        <v>14</v>
      </c>
      <c r="CG146" s="14">
        <v>123</v>
      </c>
      <c r="CH146" s="14">
        <v>90</v>
      </c>
      <c r="CI146" s="14">
        <v>372</v>
      </c>
      <c r="CJ146" s="14">
        <f t="shared" si="42"/>
        <v>599</v>
      </c>
      <c r="CK146" s="14">
        <v>49021</v>
      </c>
      <c r="CL146" s="14">
        <v>50056</v>
      </c>
      <c r="CM146" s="14">
        <v>43360</v>
      </c>
      <c r="CN146" s="11">
        <f t="shared" si="43"/>
        <v>0.43763941177064303</v>
      </c>
      <c r="CO146" s="14">
        <v>55717</v>
      </c>
      <c r="CP146" s="11">
        <f t="shared" si="44"/>
        <v>0.56236058822935697</v>
      </c>
      <c r="CQ146" s="29">
        <v>1636</v>
      </c>
      <c r="CR146" s="29">
        <v>17790</v>
      </c>
      <c r="CS146" s="29">
        <v>12264</v>
      </c>
      <c r="CT146" s="29">
        <v>8102</v>
      </c>
      <c r="CU146" s="47">
        <v>9320</v>
      </c>
      <c r="CV146" s="47">
        <v>3466</v>
      </c>
      <c r="CW146" s="47">
        <v>4279</v>
      </c>
      <c r="CX146" s="47">
        <v>1140</v>
      </c>
      <c r="CY146" s="47">
        <v>435</v>
      </c>
      <c r="CZ146" s="31">
        <v>79</v>
      </c>
      <c r="DA146" s="47">
        <v>48</v>
      </c>
      <c r="DB146" s="47">
        <v>47</v>
      </c>
      <c r="DC146" s="47">
        <v>46</v>
      </c>
    </row>
    <row r="147" spans="1:107" x14ac:dyDescent="0.35">
      <c r="A147" s="1" t="s">
        <v>965</v>
      </c>
      <c r="B147" s="5" t="s">
        <v>0</v>
      </c>
      <c r="C147" s="3" t="s">
        <v>1002</v>
      </c>
      <c r="D147" s="4" t="s">
        <v>1003</v>
      </c>
      <c r="E147" s="5">
        <v>2</v>
      </c>
      <c r="F147" s="5">
        <v>33</v>
      </c>
      <c r="G147" s="2">
        <v>0.77903518317011244</v>
      </c>
      <c r="H147" s="2" t="s">
        <v>1276</v>
      </c>
      <c r="I147" s="17" t="s">
        <v>121</v>
      </c>
      <c r="J147" s="7" t="s">
        <v>1366</v>
      </c>
      <c r="K147" s="8">
        <v>14581</v>
      </c>
      <c r="L147" s="8" t="s">
        <v>8</v>
      </c>
      <c r="M147" s="7" t="s">
        <v>1004</v>
      </c>
      <c r="N147" s="8">
        <v>19961</v>
      </c>
      <c r="O147" s="8">
        <v>0</v>
      </c>
      <c r="P147" s="7">
        <v>0</v>
      </c>
      <c r="Q147" s="8">
        <v>18616</v>
      </c>
      <c r="R147" s="8" t="s">
        <v>12</v>
      </c>
      <c r="S147" s="7" t="s">
        <v>1005</v>
      </c>
      <c r="T147" s="10">
        <v>1345</v>
      </c>
      <c r="U147" s="10">
        <v>0</v>
      </c>
      <c r="V147" s="10">
        <v>1</v>
      </c>
      <c r="W147" s="10">
        <v>0</v>
      </c>
      <c r="X147" s="10">
        <v>24829</v>
      </c>
      <c r="Y147" s="12" t="s">
        <v>43</v>
      </c>
      <c r="Z147" s="12" t="s">
        <v>1277</v>
      </c>
      <c r="AA147" s="13" t="s">
        <v>1006</v>
      </c>
      <c r="AB147" s="14">
        <v>6953</v>
      </c>
      <c r="AC147" s="15" t="s">
        <v>907</v>
      </c>
      <c r="AD147" s="16">
        <v>23451</v>
      </c>
      <c r="AE147" s="14">
        <v>15388</v>
      </c>
      <c r="AF147" s="14">
        <v>4354</v>
      </c>
      <c r="AG147" s="14">
        <v>22341</v>
      </c>
      <c r="AH147" s="14" t="s">
        <v>17</v>
      </c>
      <c r="AI147" s="15" t="s">
        <v>18</v>
      </c>
      <c r="AJ147" s="14">
        <v>0</v>
      </c>
      <c r="AK147" s="14">
        <v>1</v>
      </c>
      <c r="AL147" s="14">
        <v>0</v>
      </c>
      <c r="AM147" s="51">
        <v>50843</v>
      </c>
      <c r="AN147" s="51">
        <v>33908</v>
      </c>
      <c r="AO147" s="51">
        <v>16000</v>
      </c>
      <c r="AP147" s="51">
        <v>687</v>
      </c>
      <c r="AQ147" s="51">
        <v>150</v>
      </c>
      <c r="AR147" s="51">
        <v>56</v>
      </c>
      <c r="AS147" s="51">
        <v>35</v>
      </c>
      <c r="AT147" s="51">
        <v>7</v>
      </c>
      <c r="AU147" s="51">
        <v>24811</v>
      </c>
      <c r="AV147" s="51">
        <v>26032</v>
      </c>
      <c r="AW147" s="51">
        <v>19574</v>
      </c>
      <c r="AX147" s="51">
        <v>31269</v>
      </c>
      <c r="AY147" s="14">
        <v>17747</v>
      </c>
      <c r="AZ147" s="14">
        <v>68925</v>
      </c>
      <c r="BA147" s="14">
        <v>9</v>
      </c>
      <c r="BB147" s="14">
        <v>563</v>
      </c>
      <c r="BC147" s="14">
        <v>68353</v>
      </c>
      <c r="BD147" s="14">
        <v>46039</v>
      </c>
      <c r="BE147" s="11">
        <f>Table14[[#This Row],[Melayu_Voters_GE15]]/Table14[[#This Row],[All_Voters_GE15]]</f>
        <v>0.66795792528110265</v>
      </c>
      <c r="BF147" s="14">
        <v>21531</v>
      </c>
      <c r="BG147" s="11">
        <f>Table14[[#This Row],[Chinese_Voters_GE15]]/Table14[[#This Row],[All_Voters_GE15]]</f>
        <v>0.3123830250272035</v>
      </c>
      <c r="BH147" s="14">
        <v>937</v>
      </c>
      <c r="BI147" s="11">
        <f>Table14[[#This Row],[India_Voters_GE15]]/Table14[[#This Row],[All_Voters_GE15]]</f>
        <v>1.3594486760972071E-2</v>
      </c>
      <c r="BJ147" s="14">
        <v>67</v>
      </c>
      <c r="BK147" s="14">
        <v>107</v>
      </c>
      <c r="BL147" s="14">
        <v>66</v>
      </c>
      <c r="BM147" s="14">
        <v>178</v>
      </c>
      <c r="BN147" s="14">
        <f>Table14[[#This Row],[Lain_Voters_GE15]]+Table14[[#This Row],[Swak_Voters_GE15]]+Table14[[#This Row],[Sabah_Voters_GE15]]+Table14[[#This Row],[OA_Voters_GE15]]</f>
        <v>418</v>
      </c>
      <c r="BO147" s="11">
        <f>Table14[[#This Row],[Base_Stock_GE15]]/Table14[[#This Row],[All_Voters_GE15]]</f>
        <v>0.3602321363801233</v>
      </c>
      <c r="BP147" s="14">
        <v>18191</v>
      </c>
      <c r="BQ147" s="10">
        <v>20713</v>
      </c>
      <c r="BR147" s="44">
        <v>11511</v>
      </c>
      <c r="BS147" s="10">
        <v>3634</v>
      </c>
      <c r="BT147" s="10">
        <v>30714</v>
      </c>
      <c r="BU147" s="10">
        <v>21234</v>
      </c>
      <c r="BV147" s="10">
        <v>13343</v>
      </c>
      <c r="BW147" s="10">
        <f t="shared" si="40"/>
        <v>34348</v>
      </c>
      <c r="BX147" s="10">
        <f t="shared" si="41"/>
        <v>34577</v>
      </c>
      <c r="BY147" s="14">
        <v>70929</v>
      </c>
      <c r="BZ147" s="14">
        <v>0</v>
      </c>
      <c r="CA147" s="14">
        <v>655</v>
      </c>
      <c r="CB147" s="14">
        <v>70274</v>
      </c>
      <c r="CC147" s="14">
        <v>47720</v>
      </c>
      <c r="CD147" s="14">
        <v>21740</v>
      </c>
      <c r="CE147" s="14">
        <v>956</v>
      </c>
      <c r="CF147" s="14">
        <v>71</v>
      </c>
      <c r="CG147" s="14">
        <v>89</v>
      </c>
      <c r="CH147" s="14">
        <v>71</v>
      </c>
      <c r="CI147" s="14">
        <v>282</v>
      </c>
      <c r="CJ147" s="14">
        <f t="shared" si="42"/>
        <v>513</v>
      </c>
      <c r="CK147" s="14">
        <v>35232</v>
      </c>
      <c r="CL147" s="14">
        <v>35697</v>
      </c>
      <c r="CM147" s="14">
        <v>32939</v>
      </c>
      <c r="CN147" s="11">
        <f t="shared" si="43"/>
        <v>0.46439397143622496</v>
      </c>
      <c r="CO147" s="14">
        <v>37990</v>
      </c>
      <c r="CP147" s="11">
        <f t="shared" si="44"/>
        <v>0.53560602856377504</v>
      </c>
      <c r="CQ147" s="29">
        <v>861</v>
      </c>
      <c r="CR147" s="29">
        <v>9377</v>
      </c>
      <c r="CS147" s="29">
        <v>7906</v>
      </c>
      <c r="CT147" s="29">
        <v>4689</v>
      </c>
      <c r="CU147" s="47">
        <v>6054</v>
      </c>
      <c r="CV147" s="47">
        <v>2273</v>
      </c>
      <c r="CW147" s="47">
        <v>2800</v>
      </c>
      <c r="CX147" s="47">
        <v>751</v>
      </c>
      <c r="CY147" s="47">
        <v>230</v>
      </c>
      <c r="CZ147" s="31">
        <v>62</v>
      </c>
      <c r="DA147" s="47">
        <v>44</v>
      </c>
      <c r="DB147" s="47">
        <v>43</v>
      </c>
      <c r="DC147" s="47">
        <v>32</v>
      </c>
    </row>
    <row r="148" spans="1:107" x14ac:dyDescent="0.35">
      <c r="A148" s="1" t="s">
        <v>965</v>
      </c>
      <c r="B148" s="5" t="s">
        <v>0</v>
      </c>
      <c r="C148" s="3" t="s">
        <v>1007</v>
      </c>
      <c r="D148" s="4" t="s">
        <v>1008</v>
      </c>
      <c r="E148" s="5">
        <v>2</v>
      </c>
      <c r="F148" s="5">
        <v>43</v>
      </c>
      <c r="G148" s="2">
        <v>0.80138141009511343</v>
      </c>
      <c r="H148" s="2" t="s">
        <v>1276</v>
      </c>
      <c r="I148" s="21" t="s">
        <v>403</v>
      </c>
      <c r="J14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NORAINI AHMAD </v>
      </c>
      <c r="K148" s="8">
        <v>25740</v>
      </c>
      <c r="L148" s="8" t="s">
        <v>8</v>
      </c>
      <c r="M148" s="7" t="s">
        <v>1009</v>
      </c>
      <c r="N148" s="8">
        <v>13495</v>
      </c>
      <c r="O148" s="8" t="s">
        <v>10</v>
      </c>
      <c r="P148" s="7" t="s">
        <v>1010</v>
      </c>
      <c r="Q148" s="8">
        <v>23719</v>
      </c>
      <c r="R148" s="8" t="s">
        <v>12</v>
      </c>
      <c r="S148" s="7" t="s">
        <v>1011</v>
      </c>
      <c r="T148" s="10">
        <v>2021</v>
      </c>
      <c r="U148" s="10">
        <v>1</v>
      </c>
      <c r="V148" s="10">
        <v>0</v>
      </c>
      <c r="W148" s="10">
        <v>0</v>
      </c>
      <c r="X148" s="10">
        <v>35905</v>
      </c>
      <c r="Y148" s="26" t="s">
        <v>14</v>
      </c>
      <c r="Z148" s="12" t="s">
        <v>1277</v>
      </c>
      <c r="AA148" s="13" t="s">
        <v>1012</v>
      </c>
      <c r="AB148" s="14">
        <v>6341</v>
      </c>
      <c r="AC148" s="15" t="s">
        <v>914</v>
      </c>
      <c r="AD148" s="16">
        <v>42092</v>
      </c>
      <c r="AE148" s="14">
        <v>24481</v>
      </c>
      <c r="AF148" s="14">
        <v>7148</v>
      </c>
      <c r="AG148" s="14">
        <v>18140</v>
      </c>
      <c r="AH148" s="14" t="s">
        <v>17</v>
      </c>
      <c r="AI148" s="15" t="s">
        <v>10</v>
      </c>
      <c r="AJ148" s="14">
        <v>1</v>
      </c>
      <c r="AK148" s="14">
        <v>0</v>
      </c>
      <c r="AL148" s="14">
        <v>0</v>
      </c>
      <c r="AM148" s="51">
        <v>59609</v>
      </c>
      <c r="AN148" s="51">
        <v>46779</v>
      </c>
      <c r="AO148" s="51">
        <v>12317</v>
      </c>
      <c r="AP148" s="51">
        <v>303</v>
      </c>
      <c r="AQ148" s="51">
        <v>121</v>
      </c>
      <c r="AR148" s="51">
        <v>44</v>
      </c>
      <c r="AS148" s="51">
        <v>25</v>
      </c>
      <c r="AT148" s="51">
        <v>20</v>
      </c>
      <c r="AU148" s="51">
        <v>28983</v>
      </c>
      <c r="AV148" s="51">
        <v>30626</v>
      </c>
      <c r="AW148" s="51">
        <v>20176</v>
      </c>
      <c r="AX148" s="51">
        <v>39433</v>
      </c>
      <c r="AY148" s="14">
        <v>26935</v>
      </c>
      <c r="AZ148" s="14">
        <v>79484</v>
      </c>
      <c r="BA148" s="14">
        <v>7</v>
      </c>
      <c r="BB148" s="14">
        <v>43</v>
      </c>
      <c r="BC148" s="14">
        <v>79434</v>
      </c>
      <c r="BD148" s="14">
        <v>64406</v>
      </c>
      <c r="BE148" s="11">
        <f>Table14[[#This Row],[Melayu_Voters_GE15]]/Table14[[#This Row],[All_Voters_GE15]]</f>
        <v>0.81030144431583717</v>
      </c>
      <c r="BF148" s="14">
        <v>14253</v>
      </c>
      <c r="BG148" s="11">
        <f>Table14[[#This Row],[Chinese_Voters_GE15]]/Table14[[#This Row],[All_Voters_GE15]]</f>
        <v>0.17931910824820091</v>
      </c>
      <c r="BH148" s="14">
        <v>390</v>
      </c>
      <c r="BI148" s="11">
        <f>Table14[[#This Row],[India_Voters_GE15]]/Table14[[#This Row],[All_Voters_GE15]]</f>
        <v>4.9066478788183784E-3</v>
      </c>
      <c r="BJ148" s="14">
        <v>259</v>
      </c>
      <c r="BK148" s="14">
        <v>50</v>
      </c>
      <c r="BL148" s="14">
        <v>47</v>
      </c>
      <c r="BM148" s="14">
        <v>79</v>
      </c>
      <c r="BN148" s="14">
        <f>Table14[[#This Row],[Lain_Voters_GE15]]+Table14[[#This Row],[Swak_Voters_GE15]]+Table14[[#This Row],[Sabah_Voters_GE15]]+Table14[[#This Row],[OA_Voters_GE15]]</f>
        <v>435</v>
      </c>
      <c r="BO148" s="11">
        <f>Table14[[#This Row],[Base_Stock_GE15]]/Table14[[#This Row],[All_Voters_GE15]]</f>
        <v>0.45172613356147151</v>
      </c>
      <c r="BP148" s="14">
        <v>29777</v>
      </c>
      <c r="BQ148" s="10">
        <v>23477</v>
      </c>
      <c r="BR148" s="44">
        <v>13143</v>
      </c>
      <c r="BS148" s="10">
        <v>4217</v>
      </c>
      <c r="BT148" s="10">
        <v>33529</v>
      </c>
      <c r="BU148" s="10">
        <v>25468</v>
      </c>
      <c r="BV148" s="10">
        <v>16270</v>
      </c>
      <c r="BW148" s="10">
        <f t="shared" si="40"/>
        <v>37746</v>
      </c>
      <c r="BX148" s="10">
        <f t="shared" si="41"/>
        <v>41738</v>
      </c>
      <c r="BY148" s="14">
        <v>81165</v>
      </c>
      <c r="BZ148" s="14">
        <v>0</v>
      </c>
      <c r="CA148" s="14">
        <v>47</v>
      </c>
      <c r="CB148" s="14">
        <v>81118</v>
      </c>
      <c r="CC148" s="14">
        <v>66488</v>
      </c>
      <c r="CD148" s="14">
        <v>13815</v>
      </c>
      <c r="CE148" s="14">
        <v>382</v>
      </c>
      <c r="CF148" s="14">
        <v>265</v>
      </c>
      <c r="CG148" s="14">
        <v>58</v>
      </c>
      <c r="CH148" s="14">
        <v>48</v>
      </c>
      <c r="CI148" s="14">
        <v>109</v>
      </c>
      <c r="CJ148" s="14">
        <f t="shared" si="42"/>
        <v>480</v>
      </c>
      <c r="CK148" s="14">
        <v>39872</v>
      </c>
      <c r="CL148" s="14">
        <v>41293</v>
      </c>
      <c r="CM148" s="14">
        <v>36523</v>
      </c>
      <c r="CN148" s="11">
        <f t="shared" si="43"/>
        <v>0.44998459927308571</v>
      </c>
      <c r="CO148" s="14">
        <v>44642</v>
      </c>
      <c r="CP148" s="11">
        <f t="shared" si="44"/>
        <v>0.55001540072691435</v>
      </c>
      <c r="CQ148" s="29">
        <v>1349</v>
      </c>
      <c r="CR148" s="29">
        <v>13226</v>
      </c>
      <c r="CS148" s="29">
        <v>9836</v>
      </c>
      <c r="CT148" s="29">
        <v>6366</v>
      </c>
      <c r="CU148" s="47">
        <v>11549</v>
      </c>
      <c r="CV148" s="47">
        <v>4572</v>
      </c>
      <c r="CW148" s="47">
        <v>5265</v>
      </c>
      <c r="CX148" s="47">
        <v>1172</v>
      </c>
      <c r="CY148" s="47">
        <v>540</v>
      </c>
      <c r="CZ148" s="31">
        <v>46</v>
      </c>
      <c r="DA148" s="47">
        <v>79</v>
      </c>
      <c r="DB148" s="47">
        <v>75</v>
      </c>
      <c r="DC148" s="47">
        <v>68</v>
      </c>
    </row>
    <row r="149" spans="1:107" x14ac:dyDescent="0.35">
      <c r="A149" s="1" t="s">
        <v>965</v>
      </c>
      <c r="B149" s="5" t="s">
        <v>0</v>
      </c>
      <c r="C149" s="3" t="s">
        <v>1013</v>
      </c>
      <c r="D149" s="4" t="s">
        <v>1014</v>
      </c>
      <c r="E149" s="5">
        <v>2</v>
      </c>
      <c r="F149" s="5">
        <v>27</v>
      </c>
      <c r="G149" s="2">
        <v>0.77279205779721827</v>
      </c>
      <c r="H149" s="2" t="s">
        <v>1276</v>
      </c>
      <c r="I149" s="21" t="s">
        <v>403</v>
      </c>
      <c r="J14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WEE KA SIONG </v>
      </c>
      <c r="K149" s="8">
        <v>18911</v>
      </c>
      <c r="L149" s="8" t="s">
        <v>77</v>
      </c>
      <c r="M149" s="7" t="s">
        <v>1015</v>
      </c>
      <c r="N149" s="8">
        <v>15948</v>
      </c>
      <c r="O149" s="8" t="s">
        <v>102</v>
      </c>
      <c r="P149" s="7" t="s">
        <v>1016</v>
      </c>
      <c r="Q149" s="8">
        <v>11833</v>
      </c>
      <c r="R149" s="8" t="s">
        <v>25</v>
      </c>
      <c r="S149" s="7" t="s">
        <v>1017</v>
      </c>
      <c r="T149" s="10">
        <v>2963</v>
      </c>
      <c r="U149" s="10">
        <v>1</v>
      </c>
      <c r="V149" s="10">
        <v>0</v>
      </c>
      <c r="W149" s="10">
        <v>0</v>
      </c>
      <c r="X149" s="10">
        <v>26011</v>
      </c>
      <c r="Y149" s="12" t="s">
        <v>1018</v>
      </c>
      <c r="Z149" s="12" t="s">
        <v>1277</v>
      </c>
      <c r="AA149" s="13" t="s">
        <v>1019</v>
      </c>
      <c r="AB149" s="14">
        <v>303</v>
      </c>
      <c r="AC149" s="15" t="s">
        <v>298</v>
      </c>
      <c r="AD149" s="16">
        <v>28109</v>
      </c>
      <c r="AE149" s="14">
        <v>17076</v>
      </c>
      <c r="AF149" s="14">
        <v>4975</v>
      </c>
      <c r="AG149" s="14">
        <v>16773</v>
      </c>
      <c r="AH149" s="14" t="s">
        <v>82</v>
      </c>
      <c r="AI149" s="15" t="s">
        <v>321</v>
      </c>
      <c r="AJ149" s="14">
        <v>1</v>
      </c>
      <c r="AK149" s="14">
        <v>0</v>
      </c>
      <c r="AL149" s="14">
        <v>0</v>
      </c>
      <c r="AM149" s="51">
        <v>46157</v>
      </c>
      <c r="AN149" s="51">
        <v>26622</v>
      </c>
      <c r="AO149" s="51">
        <v>17525</v>
      </c>
      <c r="AP149" s="51">
        <v>1860</v>
      </c>
      <c r="AQ149" s="51">
        <v>114</v>
      </c>
      <c r="AR149" s="51">
        <v>19</v>
      </c>
      <c r="AS149" s="51">
        <v>15</v>
      </c>
      <c r="AT149" s="51">
        <v>2</v>
      </c>
      <c r="AU149" s="51">
        <v>22890</v>
      </c>
      <c r="AV149" s="51">
        <v>23267</v>
      </c>
      <c r="AW149" s="51">
        <v>17803</v>
      </c>
      <c r="AX149" s="51">
        <v>28354</v>
      </c>
      <c r="AY149" s="14">
        <v>19783.666666666668</v>
      </c>
      <c r="AZ149" s="14">
        <v>61041</v>
      </c>
      <c r="BA149" s="14">
        <v>5</v>
      </c>
      <c r="BB149" s="14">
        <v>48</v>
      </c>
      <c r="BC149" s="14">
        <v>60988</v>
      </c>
      <c r="BD149" s="14">
        <v>35712</v>
      </c>
      <c r="BE149" s="11">
        <f>Table14[[#This Row],[Melayu_Voters_GE15]]/Table14[[#This Row],[All_Voters_GE15]]</f>
        <v>0.58504939303091363</v>
      </c>
      <c r="BF149" s="14">
        <v>22591</v>
      </c>
      <c r="BG149" s="11">
        <f>Table14[[#This Row],[Chinese_Voters_GE15]]/Table14[[#This Row],[All_Voters_GE15]]</f>
        <v>0.37009550957553122</v>
      </c>
      <c r="BH149" s="14">
        <v>2535</v>
      </c>
      <c r="BI149" s="11">
        <f>Table14[[#This Row],[India_Voters_GE15]]/Table14[[#This Row],[All_Voters_GE15]]</f>
        <v>4.1529463803017641E-2</v>
      </c>
      <c r="BJ149" s="14">
        <v>24</v>
      </c>
      <c r="BK149" s="14">
        <v>50</v>
      </c>
      <c r="BL149" s="14">
        <v>32</v>
      </c>
      <c r="BM149" s="14">
        <v>97</v>
      </c>
      <c r="BN149" s="14">
        <f>Table14[[#This Row],[Lain_Voters_GE15]]+Table14[[#This Row],[Swak_Voters_GE15]]+Table14[[#This Row],[Sabah_Voters_GE15]]+Table14[[#This Row],[OA_Voters_GE15]]</f>
        <v>203</v>
      </c>
      <c r="BO149" s="11">
        <f>Table14[[#This Row],[Base_Stock_GE15]]/Table14[[#This Row],[All_Voters_GE15]]</f>
        <v>0.42612342523877395</v>
      </c>
      <c r="BP149" s="14">
        <v>12280</v>
      </c>
      <c r="BQ149" s="10">
        <v>17172</v>
      </c>
      <c r="BR149" s="44">
        <v>10593</v>
      </c>
      <c r="BS149" s="10">
        <v>3496</v>
      </c>
      <c r="BT149" s="10">
        <v>26840</v>
      </c>
      <c r="BU149" s="10">
        <v>19690</v>
      </c>
      <c r="BV149" s="10">
        <v>11015</v>
      </c>
      <c r="BW149" s="10">
        <f t="shared" si="40"/>
        <v>30336</v>
      </c>
      <c r="BX149" s="10">
        <f t="shared" si="41"/>
        <v>30705</v>
      </c>
      <c r="BY149" s="14">
        <v>62563</v>
      </c>
      <c r="BZ149" s="14">
        <v>0</v>
      </c>
      <c r="CA149" s="14">
        <v>60</v>
      </c>
      <c r="CB149" s="14">
        <v>62503</v>
      </c>
      <c r="CC149" s="14">
        <v>37021</v>
      </c>
      <c r="CD149" s="14">
        <v>22713</v>
      </c>
      <c r="CE149" s="14">
        <v>2584</v>
      </c>
      <c r="CF149" s="14">
        <v>24</v>
      </c>
      <c r="CG149" s="14">
        <v>52</v>
      </c>
      <c r="CH149" s="14">
        <v>35</v>
      </c>
      <c r="CI149" s="14">
        <v>134</v>
      </c>
      <c r="CJ149" s="14">
        <f t="shared" si="42"/>
        <v>245</v>
      </c>
      <c r="CK149" s="14">
        <v>31218</v>
      </c>
      <c r="CL149" s="14">
        <v>31345</v>
      </c>
      <c r="CM149" s="14">
        <v>29250</v>
      </c>
      <c r="CN149" s="11">
        <f t="shared" si="43"/>
        <v>0.46752873103911258</v>
      </c>
      <c r="CO149" s="14">
        <v>33313</v>
      </c>
      <c r="CP149" s="11">
        <f t="shared" si="44"/>
        <v>0.53247126896088748</v>
      </c>
      <c r="CQ149" s="29">
        <v>1510</v>
      </c>
      <c r="CR149" s="29">
        <v>15044</v>
      </c>
      <c r="CS149" s="29">
        <v>10676</v>
      </c>
      <c r="CT149" s="29">
        <v>6394</v>
      </c>
      <c r="CU149" s="47">
        <v>13752</v>
      </c>
      <c r="CV149" s="47">
        <v>5237</v>
      </c>
      <c r="CW149" s="47">
        <v>6092</v>
      </c>
      <c r="CX149" s="47">
        <v>1643</v>
      </c>
      <c r="CY149" s="47">
        <v>780</v>
      </c>
      <c r="CZ149" s="31">
        <v>49</v>
      </c>
      <c r="DA149" s="47">
        <v>79</v>
      </c>
      <c r="DB149" s="47">
        <v>78</v>
      </c>
      <c r="DC149" s="47">
        <v>75</v>
      </c>
    </row>
    <row r="150" spans="1:107" x14ac:dyDescent="0.35">
      <c r="A150" s="1" t="s">
        <v>965</v>
      </c>
      <c r="B150" s="5" t="s">
        <v>0</v>
      </c>
      <c r="C150" s="3" t="s">
        <v>1020</v>
      </c>
      <c r="D150" s="4" t="s">
        <v>1021</v>
      </c>
      <c r="E150" s="5">
        <v>2</v>
      </c>
      <c r="F150" s="5">
        <v>30</v>
      </c>
      <c r="G150" s="2">
        <v>0.79003078802066107</v>
      </c>
      <c r="H150" s="2" t="s">
        <v>1276</v>
      </c>
      <c r="I150" s="17" t="s">
        <v>121</v>
      </c>
      <c r="J15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CIKGU HUDA </v>
      </c>
      <c r="K150" s="8">
        <v>19242</v>
      </c>
      <c r="L150" s="8" t="s">
        <v>8</v>
      </c>
      <c r="M150" s="7" t="s">
        <v>1023</v>
      </c>
      <c r="N150" s="8">
        <v>23242</v>
      </c>
      <c r="O150" s="8" t="s">
        <v>10</v>
      </c>
      <c r="P150" s="7" t="s">
        <v>1022</v>
      </c>
      <c r="Q150" s="8">
        <v>18475</v>
      </c>
      <c r="R150" s="8" t="s">
        <v>12</v>
      </c>
      <c r="S150" s="7" t="s">
        <v>1024</v>
      </c>
      <c r="T150" s="10">
        <v>4000</v>
      </c>
      <c r="U150" s="10">
        <v>0</v>
      </c>
      <c r="V150" s="10">
        <v>1</v>
      </c>
      <c r="W150" s="10">
        <v>0</v>
      </c>
      <c r="X150" s="10">
        <v>26455</v>
      </c>
      <c r="Y150" s="12" t="s">
        <v>43</v>
      </c>
      <c r="Z150" s="12" t="s">
        <v>1277</v>
      </c>
      <c r="AA150" s="13" t="s">
        <v>1025</v>
      </c>
      <c r="AB150" s="14">
        <v>3288</v>
      </c>
      <c r="AC150" s="15" t="s">
        <v>733</v>
      </c>
      <c r="AD150" s="16">
        <v>30670</v>
      </c>
      <c r="AE150" s="14">
        <v>18223</v>
      </c>
      <c r="AF150" s="14">
        <v>4548</v>
      </c>
      <c r="AG150" s="14">
        <v>21511</v>
      </c>
      <c r="AH150" s="14" t="s">
        <v>17</v>
      </c>
      <c r="AI150" s="15" t="s">
        <v>18</v>
      </c>
      <c r="AJ150" s="14">
        <v>0</v>
      </c>
      <c r="AK150" s="14">
        <v>1</v>
      </c>
      <c r="AL150" s="14">
        <v>0</v>
      </c>
      <c r="AM150" s="51">
        <v>52119</v>
      </c>
      <c r="AN150" s="51">
        <v>33868</v>
      </c>
      <c r="AO150" s="51">
        <v>17287</v>
      </c>
      <c r="AP150" s="51">
        <v>773</v>
      </c>
      <c r="AQ150" s="51">
        <v>121</v>
      </c>
      <c r="AR150" s="51">
        <v>52</v>
      </c>
      <c r="AS150" s="51">
        <v>13</v>
      </c>
      <c r="AT150" s="51">
        <v>5</v>
      </c>
      <c r="AU150" s="51">
        <v>25272</v>
      </c>
      <c r="AV150" s="51">
        <v>26847</v>
      </c>
      <c r="AW150" s="51">
        <v>20221</v>
      </c>
      <c r="AX150" s="51">
        <v>31898</v>
      </c>
      <c r="AY150" s="14">
        <v>20105.666666666668</v>
      </c>
      <c r="AZ150" s="14">
        <v>78602</v>
      </c>
      <c r="BA150" s="14">
        <v>16</v>
      </c>
      <c r="BB150" s="14">
        <v>96</v>
      </c>
      <c r="BC150" s="14">
        <v>78490</v>
      </c>
      <c r="BD150" s="14">
        <v>50508</v>
      </c>
      <c r="BE150" s="11">
        <f>Table14[[#This Row],[Melayu_Voters_GE15]]/Table14[[#This Row],[All_Voters_GE15]]</f>
        <v>0.64257906923487951</v>
      </c>
      <c r="BF150" s="14">
        <v>26577</v>
      </c>
      <c r="BG150" s="11">
        <f>Table14[[#This Row],[Chinese_Voters_GE15]]/Table14[[#This Row],[All_Voters_GE15]]</f>
        <v>0.33812116740032061</v>
      </c>
      <c r="BH150" s="14">
        <v>1086</v>
      </c>
      <c r="BI150" s="11">
        <f>Table14[[#This Row],[India_Voters_GE15]]/Table14[[#This Row],[All_Voters_GE15]]</f>
        <v>1.3816442329711713E-2</v>
      </c>
      <c r="BJ150" s="14">
        <v>33</v>
      </c>
      <c r="BK150" s="14">
        <v>100</v>
      </c>
      <c r="BL150" s="14">
        <v>48</v>
      </c>
      <c r="BM150" s="14">
        <v>250</v>
      </c>
      <c r="BN150" s="14">
        <f>Table14[[#This Row],[Lain_Voters_GE15]]+Table14[[#This Row],[Swak_Voters_GE15]]+Table14[[#This Row],[Sabah_Voters_GE15]]+Table14[[#This Row],[OA_Voters_GE15]]</f>
        <v>431</v>
      </c>
      <c r="BO150" s="11">
        <f>Table14[[#This Row],[Base_Stock_GE15]]/Table14[[#This Row],[All_Voters_GE15]]</f>
        <v>0.3365690440446808</v>
      </c>
      <c r="BP150" s="14">
        <v>20629</v>
      </c>
      <c r="BQ150" s="10">
        <v>28431</v>
      </c>
      <c r="BR150" s="44">
        <v>16042</v>
      </c>
      <c r="BS150" s="10">
        <v>5231</v>
      </c>
      <c r="BT150" s="10">
        <v>37282</v>
      </c>
      <c r="BU150" s="10">
        <v>23926</v>
      </c>
      <c r="BV150" s="10">
        <v>12163</v>
      </c>
      <c r="BW150" s="10">
        <f t="shared" si="40"/>
        <v>42513</v>
      </c>
      <c r="BX150" s="10">
        <f t="shared" si="41"/>
        <v>36089</v>
      </c>
      <c r="BY150" s="14">
        <v>82702</v>
      </c>
      <c r="BZ150" s="14">
        <v>0</v>
      </c>
      <c r="CA150" s="14">
        <v>96</v>
      </c>
      <c r="CB150" s="14">
        <v>82606</v>
      </c>
      <c r="CC150" s="14">
        <v>53418</v>
      </c>
      <c r="CD150" s="14">
        <v>27640</v>
      </c>
      <c r="CE150" s="14">
        <v>1105</v>
      </c>
      <c r="CF150" s="14">
        <v>37</v>
      </c>
      <c r="CG150" s="14">
        <v>114</v>
      </c>
      <c r="CH150" s="14">
        <v>55</v>
      </c>
      <c r="CI150" s="14">
        <v>333</v>
      </c>
      <c r="CJ150" s="14">
        <f t="shared" si="42"/>
        <v>539</v>
      </c>
      <c r="CK150" s="14">
        <v>40957</v>
      </c>
      <c r="CL150" s="14">
        <v>41745</v>
      </c>
      <c r="CM150" s="14">
        <v>42886</v>
      </c>
      <c r="CN150" s="11">
        <f t="shared" si="43"/>
        <v>0.51856061522091368</v>
      </c>
      <c r="CO150" s="14">
        <v>39816</v>
      </c>
      <c r="CP150" s="11">
        <f t="shared" si="44"/>
        <v>0.48143938477908638</v>
      </c>
      <c r="CQ150" s="29">
        <v>1254</v>
      </c>
      <c r="CR150" s="29">
        <v>12663</v>
      </c>
      <c r="CS150" s="29">
        <v>9207</v>
      </c>
      <c r="CT150" s="29">
        <v>5284</v>
      </c>
      <c r="CU150" s="47">
        <v>9517</v>
      </c>
      <c r="CV150" s="47">
        <v>3472</v>
      </c>
      <c r="CW150" s="47">
        <v>4404</v>
      </c>
      <c r="CX150" s="47">
        <v>1200</v>
      </c>
      <c r="CY150" s="47">
        <v>441</v>
      </c>
      <c r="CZ150" s="31">
        <v>47</v>
      </c>
      <c r="DA150" s="47">
        <v>62</v>
      </c>
      <c r="DB150" s="47">
        <v>61</v>
      </c>
      <c r="DC150" s="47">
        <v>52</v>
      </c>
    </row>
    <row r="151" spans="1:107" x14ac:dyDescent="0.35">
      <c r="A151" s="1" t="s">
        <v>965</v>
      </c>
      <c r="B151" s="5" t="s">
        <v>0</v>
      </c>
      <c r="C151" s="3" t="s">
        <v>1026</v>
      </c>
      <c r="D151" s="4" t="s">
        <v>1027</v>
      </c>
      <c r="E151" s="5">
        <v>3</v>
      </c>
      <c r="F151" s="5">
        <v>44</v>
      </c>
      <c r="G151" s="2">
        <v>0.75184078858935111</v>
      </c>
      <c r="H151" s="2" t="s">
        <v>1276</v>
      </c>
      <c r="I151" s="17" t="s">
        <v>121</v>
      </c>
      <c r="J15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ONN BIN ABU BAKAR </v>
      </c>
      <c r="K151" s="8">
        <v>24309</v>
      </c>
      <c r="L151" s="8" t="s">
        <v>8</v>
      </c>
      <c r="M151" s="7" t="s">
        <v>1029</v>
      </c>
      <c r="N151" s="8">
        <v>45242</v>
      </c>
      <c r="O151" s="8" t="s">
        <v>23</v>
      </c>
      <c r="P151" s="7" t="s">
        <v>1028</v>
      </c>
      <c r="Q151" s="8">
        <v>29270</v>
      </c>
      <c r="R151" s="8" t="s">
        <v>25</v>
      </c>
      <c r="S151" s="7" t="s">
        <v>1030</v>
      </c>
      <c r="T151" s="10">
        <v>15972</v>
      </c>
      <c r="U151" s="10">
        <v>0</v>
      </c>
      <c r="V151" s="10">
        <v>1</v>
      </c>
      <c r="W151" s="10">
        <v>0</v>
      </c>
      <c r="X151" s="10">
        <v>52972</v>
      </c>
      <c r="Y151" s="12" t="s">
        <v>26</v>
      </c>
      <c r="Z151" s="12" t="s">
        <v>1277</v>
      </c>
      <c r="AA151" s="13" t="s">
        <v>1031</v>
      </c>
      <c r="AB151" s="14">
        <v>17894</v>
      </c>
      <c r="AC151" s="15" t="s">
        <v>291</v>
      </c>
      <c r="AD151" s="16">
        <v>39557</v>
      </c>
      <c r="AE151" s="14">
        <v>28035</v>
      </c>
      <c r="AF151" s="14">
        <v>8173</v>
      </c>
      <c r="AG151" s="14">
        <v>45929</v>
      </c>
      <c r="AH151" s="14" t="s">
        <v>17</v>
      </c>
      <c r="AI151" s="15" t="s">
        <v>29</v>
      </c>
      <c r="AJ151" s="14">
        <v>0</v>
      </c>
      <c r="AK151" s="14">
        <v>0</v>
      </c>
      <c r="AL151" s="14">
        <v>0</v>
      </c>
      <c r="AM151" s="51">
        <v>98543</v>
      </c>
      <c r="AN151" s="51">
        <v>53744</v>
      </c>
      <c r="AO151" s="51">
        <v>42853</v>
      </c>
      <c r="AP151" s="51">
        <v>1297</v>
      </c>
      <c r="AQ151" s="51">
        <v>324</v>
      </c>
      <c r="AR151" s="51">
        <v>175</v>
      </c>
      <c r="AS151" s="51">
        <v>50</v>
      </c>
      <c r="AT151" s="51">
        <v>100</v>
      </c>
      <c r="AU151" s="51">
        <v>48285</v>
      </c>
      <c r="AV151" s="51">
        <v>50258</v>
      </c>
      <c r="AW151" s="51">
        <v>37928</v>
      </c>
      <c r="AX151" s="51">
        <v>60615</v>
      </c>
      <c r="AY151" s="14">
        <v>32477</v>
      </c>
      <c r="AZ151" s="14">
        <v>133910</v>
      </c>
      <c r="BA151" s="14">
        <v>33</v>
      </c>
      <c r="BB151" s="14">
        <v>1122</v>
      </c>
      <c r="BC151" s="14">
        <v>132755</v>
      </c>
      <c r="BD151" s="14">
        <v>70629</v>
      </c>
      <c r="BE151" s="11">
        <f>Table14[[#This Row],[Melayu_Voters_GE15]]/Table14[[#This Row],[All_Voters_GE15]]</f>
        <v>0.52743633783884702</v>
      </c>
      <c r="BF151" s="14">
        <v>59901</v>
      </c>
      <c r="BG151" s="11">
        <f>Table14[[#This Row],[Chinese_Voters_GE15]]/Table14[[#This Row],[All_Voters_GE15]]</f>
        <v>0.44732282876558882</v>
      </c>
      <c r="BH151" s="14">
        <v>1957</v>
      </c>
      <c r="BI151" s="11">
        <f>Table14[[#This Row],[India_Voters_GE15]]/Table14[[#This Row],[All_Voters_GE15]]</f>
        <v>1.4614293181987903E-2</v>
      </c>
      <c r="BJ151" s="14">
        <v>742</v>
      </c>
      <c r="BK151" s="14">
        <v>150</v>
      </c>
      <c r="BL151" s="14">
        <v>112</v>
      </c>
      <c r="BM151" s="14">
        <v>419</v>
      </c>
      <c r="BN151" s="14">
        <f>Table14[[#This Row],[Lain_Voters_GE15]]+Table14[[#This Row],[Swak_Voters_GE15]]+Table14[[#This Row],[Sabah_Voters_GE15]]+Table14[[#This Row],[OA_Voters_GE15]]</f>
        <v>1423</v>
      </c>
      <c r="BO151" s="11">
        <f>Table14[[#This Row],[Base_Stock_GE15]]/Table14[[#This Row],[All_Voters_GE15]]</f>
        <v>0.39557912030468223</v>
      </c>
      <c r="BP151" s="14">
        <v>15561</v>
      </c>
      <c r="BQ151" s="10">
        <v>40803</v>
      </c>
      <c r="BR151" s="44">
        <v>21297</v>
      </c>
      <c r="BS151" s="10">
        <v>6833</v>
      </c>
      <c r="BT151" s="10">
        <v>58678</v>
      </c>
      <c r="BU151" s="10">
        <v>42258</v>
      </c>
      <c r="BV151" s="10">
        <v>26141</v>
      </c>
      <c r="BW151" s="10">
        <f t="shared" si="40"/>
        <v>65511</v>
      </c>
      <c r="BX151" s="10">
        <f t="shared" si="41"/>
        <v>68399</v>
      </c>
      <c r="BY151" s="14">
        <v>136315</v>
      </c>
      <c r="BZ151" s="14">
        <v>0</v>
      </c>
      <c r="CA151" s="14">
        <v>1079</v>
      </c>
      <c r="CB151" s="14">
        <v>135236</v>
      </c>
      <c r="CC151" s="14">
        <v>72405</v>
      </c>
      <c r="CD151" s="14">
        <v>60411</v>
      </c>
      <c r="CE151" s="14">
        <v>1957</v>
      </c>
      <c r="CF151" s="14">
        <v>745</v>
      </c>
      <c r="CG151" s="14">
        <v>129</v>
      </c>
      <c r="CH151" s="14">
        <v>103</v>
      </c>
      <c r="CI151" s="14">
        <v>565</v>
      </c>
      <c r="CJ151" s="14">
        <f t="shared" si="42"/>
        <v>1542</v>
      </c>
      <c r="CK151" s="14">
        <v>67403</v>
      </c>
      <c r="CL151" s="14">
        <v>68912</v>
      </c>
      <c r="CM151" s="14">
        <v>62083</v>
      </c>
      <c r="CN151" s="11">
        <f t="shared" si="43"/>
        <v>0.45543777280563402</v>
      </c>
      <c r="CO151" s="14">
        <v>74232</v>
      </c>
      <c r="CP151" s="11">
        <f t="shared" si="44"/>
        <v>0.54456222719436598</v>
      </c>
      <c r="CQ151" s="29">
        <v>2046</v>
      </c>
      <c r="CR151" s="29">
        <v>17133</v>
      </c>
      <c r="CS151" s="29">
        <v>11403</v>
      </c>
      <c r="CT151" s="29">
        <v>7129</v>
      </c>
      <c r="CU151" s="47">
        <v>10297</v>
      </c>
      <c r="CV151" s="47">
        <v>3702</v>
      </c>
      <c r="CW151" s="47">
        <v>4635</v>
      </c>
      <c r="CX151" s="47">
        <v>1329</v>
      </c>
      <c r="CY151" s="47">
        <v>631</v>
      </c>
      <c r="CZ151" s="31">
        <v>33</v>
      </c>
      <c r="DA151" s="47">
        <v>59</v>
      </c>
      <c r="DB151" s="47">
        <v>59</v>
      </c>
      <c r="DC151" s="47">
        <v>54</v>
      </c>
    </row>
    <row r="152" spans="1:107" x14ac:dyDescent="0.35">
      <c r="A152" s="1" t="s">
        <v>965</v>
      </c>
      <c r="B152" s="5" t="s">
        <v>0</v>
      </c>
      <c r="C152" s="3" t="s">
        <v>1032</v>
      </c>
      <c r="D152" s="4" t="s">
        <v>1033</v>
      </c>
      <c r="E152" s="5">
        <v>2</v>
      </c>
      <c r="F152" s="5">
        <v>26</v>
      </c>
      <c r="G152" s="2">
        <v>0.75891450544610639</v>
      </c>
      <c r="H152" s="2" t="s">
        <v>1276</v>
      </c>
      <c r="I152" s="21" t="s">
        <v>403</v>
      </c>
      <c r="J15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HASNI BIN MOHAMMAD </v>
      </c>
      <c r="K152" s="8">
        <v>18312</v>
      </c>
      <c r="L152" s="8" t="s">
        <v>8</v>
      </c>
      <c r="M152" s="7" t="s">
        <v>1034</v>
      </c>
      <c r="N152" s="8">
        <v>16491</v>
      </c>
      <c r="O152" s="8" t="s">
        <v>23</v>
      </c>
      <c r="P152" s="7" t="s">
        <v>1035</v>
      </c>
      <c r="Q152" s="8">
        <v>9077</v>
      </c>
      <c r="R152" s="8" t="s">
        <v>25</v>
      </c>
      <c r="S152" s="7" t="s">
        <v>1036</v>
      </c>
      <c r="T152" s="10">
        <v>1821</v>
      </c>
      <c r="U152" s="10">
        <v>1</v>
      </c>
      <c r="V152" s="10">
        <v>0</v>
      </c>
      <c r="W152" s="10">
        <v>0</v>
      </c>
      <c r="X152" s="10">
        <v>28696</v>
      </c>
      <c r="Y152" s="12" t="s">
        <v>43</v>
      </c>
      <c r="Z152" s="12" t="s">
        <v>1277</v>
      </c>
      <c r="AA152" s="13" t="s">
        <v>1037</v>
      </c>
      <c r="AB152" s="14">
        <v>3475</v>
      </c>
      <c r="AC152" s="15" t="s">
        <v>126</v>
      </c>
      <c r="AD152" s="16">
        <v>28689</v>
      </c>
      <c r="AE152" s="14">
        <v>14682</v>
      </c>
      <c r="AF152" s="14">
        <v>2983</v>
      </c>
      <c r="AG152" s="14">
        <v>18157</v>
      </c>
      <c r="AH152" s="14" t="s">
        <v>339</v>
      </c>
      <c r="AI152" s="15" t="s">
        <v>18</v>
      </c>
      <c r="AJ152" s="14">
        <v>0</v>
      </c>
      <c r="AK152" s="14">
        <v>1</v>
      </c>
      <c r="AL152" s="14">
        <v>0</v>
      </c>
      <c r="AM152" s="51">
        <v>43998</v>
      </c>
      <c r="AN152" s="51">
        <v>26220</v>
      </c>
      <c r="AO152" s="51">
        <v>13552</v>
      </c>
      <c r="AP152" s="51">
        <v>3925</v>
      </c>
      <c r="AQ152" s="51">
        <v>189</v>
      </c>
      <c r="AR152" s="51">
        <v>67</v>
      </c>
      <c r="AS152" s="51">
        <v>38</v>
      </c>
      <c r="AT152" s="51">
        <v>7</v>
      </c>
      <c r="AU152" s="51">
        <v>21987</v>
      </c>
      <c r="AV152" s="51">
        <v>22011</v>
      </c>
      <c r="AW152" s="51">
        <v>16857</v>
      </c>
      <c r="AX152" s="51">
        <v>27141</v>
      </c>
      <c r="AY152" s="14">
        <v>16962</v>
      </c>
      <c r="AZ152" s="14">
        <v>59033</v>
      </c>
      <c r="BA152" s="14">
        <v>4</v>
      </c>
      <c r="BB152" s="14">
        <v>719</v>
      </c>
      <c r="BC152" s="14">
        <v>58310</v>
      </c>
      <c r="BD152" s="14">
        <v>36647</v>
      </c>
      <c r="BE152" s="11">
        <f>Table14[[#This Row],[Melayu_Voters_GE15]]/Table14[[#This Row],[All_Voters_GE15]]</f>
        <v>0.62078837260515307</v>
      </c>
      <c r="BF152" s="14">
        <v>16833</v>
      </c>
      <c r="BG152" s="11">
        <f>Table14[[#This Row],[Chinese_Voters_GE15]]/Table14[[#This Row],[All_Voters_GE15]]</f>
        <v>0.285145596530754</v>
      </c>
      <c r="BH152" s="14">
        <v>5094</v>
      </c>
      <c r="BI152" s="11">
        <f>Table14[[#This Row],[India_Voters_GE15]]/Table14[[#This Row],[All_Voters_GE15]]</f>
        <v>8.6290718750529363E-2</v>
      </c>
      <c r="BJ152" s="14">
        <v>83</v>
      </c>
      <c r="BK152" s="14">
        <v>128</v>
      </c>
      <c r="BL152" s="14">
        <v>76</v>
      </c>
      <c r="BM152" s="14">
        <v>172</v>
      </c>
      <c r="BN152" s="14">
        <f>Table14[[#This Row],[Lain_Voters_GE15]]+Table14[[#This Row],[Swak_Voters_GE15]]+Table14[[#This Row],[Sabah_Voters_GE15]]+Table14[[#This Row],[OA_Voters_GE15]]</f>
        <v>459</v>
      </c>
      <c r="BO152" s="11">
        <f>Table14[[#This Row],[Base_Stock_GE15]]/Table14[[#This Row],[All_Voters_GE15]]</f>
        <v>0.48610099435908727</v>
      </c>
      <c r="BP152" s="14">
        <v>23097</v>
      </c>
      <c r="BQ152" s="10">
        <v>17789</v>
      </c>
      <c r="BR152" s="44">
        <v>9885</v>
      </c>
      <c r="BS152" s="10">
        <v>3156</v>
      </c>
      <c r="BT152" s="10">
        <v>26829</v>
      </c>
      <c r="BU152" s="10">
        <v>18372</v>
      </c>
      <c r="BV152" s="10">
        <v>10676</v>
      </c>
      <c r="BW152" s="10">
        <f t="shared" si="40"/>
        <v>29985</v>
      </c>
      <c r="BX152" s="10">
        <f t="shared" si="41"/>
        <v>29048</v>
      </c>
      <c r="BY152" s="14">
        <v>60315</v>
      </c>
      <c r="BZ152" s="14">
        <v>0</v>
      </c>
      <c r="CA152" s="14">
        <v>659</v>
      </c>
      <c r="CB152" s="14">
        <v>59656</v>
      </c>
      <c r="CC152" s="14">
        <v>38086</v>
      </c>
      <c r="CD152" s="14">
        <v>16629</v>
      </c>
      <c r="CE152" s="14">
        <v>5116</v>
      </c>
      <c r="CF152" s="14">
        <v>84</v>
      </c>
      <c r="CG152" s="14">
        <v>64</v>
      </c>
      <c r="CH152" s="14">
        <v>57</v>
      </c>
      <c r="CI152" s="14">
        <v>279</v>
      </c>
      <c r="CJ152" s="14">
        <f t="shared" si="42"/>
        <v>484</v>
      </c>
      <c r="CK152" s="14">
        <v>30173</v>
      </c>
      <c r="CL152" s="14">
        <v>30142</v>
      </c>
      <c r="CM152" s="14">
        <v>28626</v>
      </c>
      <c r="CN152" s="11">
        <f t="shared" si="43"/>
        <v>0.47460830639144491</v>
      </c>
      <c r="CO152" s="14">
        <v>31689</v>
      </c>
      <c r="CP152" s="11">
        <f t="shared" si="44"/>
        <v>0.52539169360855509</v>
      </c>
      <c r="CQ152" s="29">
        <v>1104</v>
      </c>
      <c r="CR152" s="29">
        <v>11933</v>
      </c>
      <c r="CS152" s="29">
        <v>8642</v>
      </c>
      <c r="CT152" s="29">
        <v>5703</v>
      </c>
      <c r="CU152" s="47">
        <v>10654</v>
      </c>
      <c r="CV152" s="47">
        <v>3815</v>
      </c>
      <c r="CW152" s="47">
        <v>4492</v>
      </c>
      <c r="CX152" s="47">
        <v>1463</v>
      </c>
      <c r="CY152" s="47">
        <v>884</v>
      </c>
      <c r="CZ152" s="31">
        <v>31</v>
      </c>
      <c r="DA152" s="47">
        <v>57</v>
      </c>
      <c r="DB152" s="47">
        <v>57</v>
      </c>
      <c r="DC152" s="47">
        <v>57</v>
      </c>
    </row>
    <row r="153" spans="1:107" x14ac:dyDescent="0.35">
      <c r="A153" s="1" t="s">
        <v>965</v>
      </c>
      <c r="B153" s="5" t="s">
        <v>0</v>
      </c>
      <c r="C153" s="3" t="s">
        <v>1038</v>
      </c>
      <c r="D153" s="4" t="s">
        <v>1039</v>
      </c>
      <c r="E153" s="5">
        <v>2</v>
      </c>
      <c r="F153" s="5">
        <v>40</v>
      </c>
      <c r="G153" s="2">
        <v>0.73417358057154947</v>
      </c>
      <c r="H153" s="2" t="s">
        <v>1276</v>
      </c>
      <c r="I153" s="17" t="s">
        <v>121</v>
      </c>
      <c r="J15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WONG SHU QI </v>
      </c>
      <c r="K153" s="8">
        <v>23395</v>
      </c>
      <c r="L153" s="8" t="s">
        <v>77</v>
      </c>
      <c r="M153" s="7" t="s">
        <v>1041</v>
      </c>
      <c r="N153" s="8">
        <v>49801</v>
      </c>
      <c r="O153" s="8" t="s">
        <v>102</v>
      </c>
      <c r="P153" s="7" t="s">
        <v>1040</v>
      </c>
      <c r="Q153" s="8">
        <v>22021</v>
      </c>
      <c r="R153" s="8" t="s">
        <v>25</v>
      </c>
      <c r="S153" s="7" t="s">
        <v>1042</v>
      </c>
      <c r="T153" s="10">
        <v>26406</v>
      </c>
      <c r="U153" s="10">
        <v>0</v>
      </c>
      <c r="V153" s="10">
        <v>1</v>
      </c>
      <c r="W153" s="10">
        <v>0</v>
      </c>
      <c r="X153" s="10">
        <v>39617</v>
      </c>
      <c r="Y153" s="12" t="s">
        <v>319</v>
      </c>
      <c r="Z153" s="12" t="s">
        <v>1277</v>
      </c>
      <c r="AA153" s="13" t="s">
        <v>1043</v>
      </c>
      <c r="AB153" s="14">
        <v>23053</v>
      </c>
      <c r="AC153" s="15" t="s">
        <v>957</v>
      </c>
      <c r="AD153" s="16">
        <v>49581</v>
      </c>
      <c r="AE153" s="14">
        <v>24618</v>
      </c>
      <c r="AF153" s="14">
        <v>8242</v>
      </c>
      <c r="AG153" s="14">
        <v>47671</v>
      </c>
      <c r="AH153" s="14" t="s">
        <v>82</v>
      </c>
      <c r="AI153" s="15" t="s">
        <v>321</v>
      </c>
      <c r="AJ153" s="14">
        <v>0</v>
      </c>
      <c r="AK153" s="14">
        <v>1</v>
      </c>
      <c r="AL153" s="14">
        <v>0</v>
      </c>
      <c r="AM153" s="51">
        <v>96915</v>
      </c>
      <c r="AN153" s="51">
        <v>40320</v>
      </c>
      <c r="AO153" s="51">
        <v>46026</v>
      </c>
      <c r="AP153" s="51">
        <v>9130</v>
      </c>
      <c r="AQ153" s="51">
        <v>411</v>
      </c>
      <c r="AR153" s="51">
        <v>328</v>
      </c>
      <c r="AS153" s="51">
        <v>658</v>
      </c>
      <c r="AT153" s="51">
        <v>42</v>
      </c>
      <c r="AU153" s="51">
        <v>48457</v>
      </c>
      <c r="AV153" s="51">
        <v>48458</v>
      </c>
      <c r="AW153" s="51">
        <v>38495</v>
      </c>
      <c r="AX153" s="51">
        <v>58420</v>
      </c>
      <c r="AY153" s="14">
        <v>28601</v>
      </c>
      <c r="AZ153" s="14">
        <v>132342</v>
      </c>
      <c r="BA153" s="14">
        <v>28</v>
      </c>
      <c r="BB153" s="14">
        <v>5447</v>
      </c>
      <c r="BC153" s="14">
        <v>126867</v>
      </c>
      <c r="BD153" s="14">
        <v>55759</v>
      </c>
      <c r="BE153" s="11">
        <f>Table14[[#This Row],[Melayu_Voters_GE15]]/Table14[[#This Row],[All_Voters_GE15]]</f>
        <v>0.42132505175983437</v>
      </c>
      <c r="BF153" s="14">
        <v>60820</v>
      </c>
      <c r="BG153" s="11">
        <f>Table14[[#This Row],[Chinese_Voters_GE15]]/Table14[[#This Row],[All_Voters_GE15]]</f>
        <v>0.45956687975094829</v>
      </c>
      <c r="BH153" s="14">
        <v>13889</v>
      </c>
      <c r="BI153" s="11">
        <f>Table14[[#This Row],[India_Voters_GE15]]/Table14[[#This Row],[All_Voters_GE15]]</f>
        <v>0.10494778679481949</v>
      </c>
      <c r="BJ153" s="14">
        <v>131</v>
      </c>
      <c r="BK153" s="14">
        <v>514</v>
      </c>
      <c r="BL153" s="14">
        <v>801</v>
      </c>
      <c r="BM153" s="14">
        <v>428</v>
      </c>
      <c r="BN153" s="14">
        <f>Table14[[#This Row],[Lain_Voters_GE15]]+Table14[[#This Row],[Swak_Voters_GE15]]+Table14[[#This Row],[Sabah_Voters_GE15]]+Table14[[#This Row],[OA_Voters_GE15]]</f>
        <v>1874</v>
      </c>
      <c r="BO153" s="11">
        <f>Table14[[#This Row],[Base_Stock_GE15]]/Table14[[#This Row],[All_Voters_GE15]]</f>
        <v>0.29935319097489838</v>
      </c>
      <c r="BP153" s="14">
        <v>7988</v>
      </c>
      <c r="BQ153" s="10">
        <v>41036</v>
      </c>
      <c r="BR153" s="44">
        <v>21639</v>
      </c>
      <c r="BS153" s="10">
        <v>6732</v>
      </c>
      <c r="BT153" s="10">
        <v>60117</v>
      </c>
      <c r="BU153" s="10">
        <v>40148</v>
      </c>
      <c r="BV153" s="10">
        <v>25345</v>
      </c>
      <c r="BW153" s="10">
        <f t="shared" si="40"/>
        <v>66849</v>
      </c>
      <c r="BX153" s="10">
        <f t="shared" si="41"/>
        <v>65493</v>
      </c>
      <c r="BY153" s="14">
        <v>135545</v>
      </c>
      <c r="BZ153" s="14">
        <v>0</v>
      </c>
      <c r="CA153" s="14">
        <v>4971</v>
      </c>
      <c r="CB153" s="14">
        <v>130574</v>
      </c>
      <c r="CC153" s="14">
        <v>58643</v>
      </c>
      <c r="CD153" s="14">
        <v>60794</v>
      </c>
      <c r="CE153" s="14">
        <v>14124</v>
      </c>
      <c r="CF153" s="14">
        <v>168</v>
      </c>
      <c r="CG153" s="14">
        <v>505</v>
      </c>
      <c r="CH153" s="14">
        <v>742</v>
      </c>
      <c r="CI153" s="14">
        <v>569</v>
      </c>
      <c r="CJ153" s="14">
        <f t="shared" si="42"/>
        <v>1984</v>
      </c>
      <c r="CK153" s="14">
        <v>67763</v>
      </c>
      <c r="CL153" s="14">
        <v>67782</v>
      </c>
      <c r="CM153" s="14">
        <v>63583</v>
      </c>
      <c r="CN153" s="11">
        <f t="shared" si="43"/>
        <v>0.46909144564535765</v>
      </c>
      <c r="CO153" s="14">
        <v>71962</v>
      </c>
      <c r="CP153" s="11">
        <f t="shared" si="44"/>
        <v>0.53090855435464235</v>
      </c>
      <c r="CQ153" s="29">
        <v>969</v>
      </c>
      <c r="CR153" s="29">
        <v>10427</v>
      </c>
      <c r="CS153" s="29">
        <v>8155</v>
      </c>
      <c r="CT153" s="29">
        <v>5603</v>
      </c>
      <c r="CU153" s="47">
        <v>6181</v>
      </c>
      <c r="CV153" s="47">
        <v>2231</v>
      </c>
      <c r="CW153" s="47">
        <v>2738</v>
      </c>
      <c r="CX153" s="47">
        <v>787</v>
      </c>
      <c r="CY153" s="47">
        <v>425</v>
      </c>
      <c r="CZ153" s="31">
        <v>21</v>
      </c>
      <c r="DA153" s="47">
        <v>28</v>
      </c>
      <c r="DB153" s="47">
        <v>27</v>
      </c>
      <c r="DC153" s="47">
        <v>26</v>
      </c>
    </row>
    <row r="154" spans="1:107" x14ac:dyDescent="0.35">
      <c r="A154" s="1" t="s">
        <v>965</v>
      </c>
      <c r="B154" s="5" t="s">
        <v>0</v>
      </c>
      <c r="C154" s="3" t="s">
        <v>1044</v>
      </c>
      <c r="D154" s="4" t="s">
        <v>1045</v>
      </c>
      <c r="E154" s="5">
        <v>2</v>
      </c>
      <c r="F154" s="5">
        <v>29</v>
      </c>
      <c r="G154" s="2">
        <v>0.75386490124040595</v>
      </c>
      <c r="H154" s="2" t="s">
        <v>1276</v>
      </c>
      <c r="I154" s="21" t="s">
        <v>403</v>
      </c>
      <c r="J15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HISHAMMUDDIN HUSSEIN </v>
      </c>
      <c r="K154" s="8">
        <v>22572</v>
      </c>
      <c r="L154" s="8" t="s">
        <v>8</v>
      </c>
      <c r="M154" s="7" t="s">
        <v>1046</v>
      </c>
      <c r="N154" s="8">
        <v>11692</v>
      </c>
      <c r="O154" s="8" t="s">
        <v>23</v>
      </c>
      <c r="P154" s="7" t="s">
        <v>1047</v>
      </c>
      <c r="Q154" s="8">
        <v>6666</v>
      </c>
      <c r="R154" s="8" t="s">
        <v>25</v>
      </c>
      <c r="S154" s="7" t="s">
        <v>1048</v>
      </c>
      <c r="T154" s="10">
        <v>10880</v>
      </c>
      <c r="U154" s="10">
        <v>1</v>
      </c>
      <c r="V154" s="10">
        <v>0</v>
      </c>
      <c r="W154" s="10">
        <v>0</v>
      </c>
      <c r="X154" s="10">
        <v>26389</v>
      </c>
      <c r="Y154" s="12" t="s">
        <v>14</v>
      </c>
      <c r="Z154" s="12" t="s">
        <v>1277</v>
      </c>
      <c r="AA154" s="13" t="s">
        <v>1049</v>
      </c>
      <c r="AB154" s="14">
        <v>6662</v>
      </c>
      <c r="AC154" s="15" t="s">
        <v>656</v>
      </c>
      <c r="AD154" s="16">
        <v>31525</v>
      </c>
      <c r="AE154" s="14">
        <v>21353</v>
      </c>
      <c r="AF154" s="14"/>
      <c r="AG154" s="14">
        <v>14691</v>
      </c>
      <c r="AH154" s="14" t="s">
        <v>17</v>
      </c>
      <c r="AI154" s="15" t="s">
        <v>29</v>
      </c>
      <c r="AJ154" s="14">
        <v>1</v>
      </c>
      <c r="AK154" s="14">
        <v>0</v>
      </c>
      <c r="AL154" s="14">
        <v>0</v>
      </c>
      <c r="AM154" s="51">
        <v>44137</v>
      </c>
      <c r="AN154" s="51">
        <v>26656</v>
      </c>
      <c r="AO154" s="51">
        <v>12866</v>
      </c>
      <c r="AP154" s="51">
        <v>3840</v>
      </c>
      <c r="AQ154" s="51">
        <v>138</v>
      </c>
      <c r="AR154" s="51">
        <v>41</v>
      </c>
      <c r="AS154" s="51">
        <v>17</v>
      </c>
      <c r="AT154" s="51">
        <v>579</v>
      </c>
      <c r="AU154" s="51">
        <v>22116</v>
      </c>
      <c r="AV154" s="51">
        <v>22021</v>
      </c>
      <c r="AW154" s="51">
        <v>18500</v>
      </c>
      <c r="AX154" s="51">
        <v>25637</v>
      </c>
      <c r="AY154" s="14">
        <v>20727.333333333332</v>
      </c>
      <c r="AZ154" s="14">
        <v>54982</v>
      </c>
      <c r="BA154" s="14">
        <v>7</v>
      </c>
      <c r="BB154" s="14">
        <v>44</v>
      </c>
      <c r="BC154" s="14">
        <v>54931</v>
      </c>
      <c r="BD154" s="14">
        <v>33796</v>
      </c>
      <c r="BE154" s="11">
        <f>Table14[[#This Row],[Melayu_Voters_GE15]]/Table14[[#This Row],[All_Voters_GE15]]</f>
        <v>0.61467389327416244</v>
      </c>
      <c r="BF154" s="14">
        <v>15231</v>
      </c>
      <c r="BG154" s="11">
        <f>Table14[[#This Row],[Chinese_Voters_GE15]]/Table14[[#This Row],[All_Voters_GE15]]</f>
        <v>0.27701793314175549</v>
      </c>
      <c r="BH154" s="14">
        <v>4857</v>
      </c>
      <c r="BI154" s="11">
        <f>Table14[[#This Row],[India_Voters_GE15]]/Table14[[#This Row],[All_Voters_GE15]]</f>
        <v>8.8338001527772728E-2</v>
      </c>
      <c r="BJ154" s="14">
        <v>921</v>
      </c>
      <c r="BK154" s="14">
        <v>49</v>
      </c>
      <c r="BL154" s="14">
        <v>40</v>
      </c>
      <c r="BM154" s="14">
        <v>88</v>
      </c>
      <c r="BN154" s="14">
        <f>Table14[[#This Row],[Lain_Voters_GE15]]+Table14[[#This Row],[Swak_Voters_GE15]]+Table14[[#This Row],[Sabah_Voters_GE15]]+Table14[[#This Row],[OA_Voters_GE15]]</f>
        <v>1098</v>
      </c>
      <c r="BO154" s="11">
        <f>Table14[[#This Row],[Base_Stock_GE15]]/Table14[[#This Row],[All_Voters_GE15]]</f>
        <v>0.47995707686151834</v>
      </c>
      <c r="BP154" s="14">
        <v>21498</v>
      </c>
      <c r="BQ154" s="10">
        <v>13704</v>
      </c>
      <c r="BR154" s="44">
        <v>7741</v>
      </c>
      <c r="BS154" s="10">
        <v>2420</v>
      </c>
      <c r="BT154" s="10">
        <v>25188</v>
      </c>
      <c r="BU154" s="10">
        <v>16268</v>
      </c>
      <c r="BV154" s="10">
        <v>11106</v>
      </c>
      <c r="BW154" s="10">
        <f t="shared" si="40"/>
        <v>27608</v>
      </c>
      <c r="BX154" s="10">
        <f t="shared" si="41"/>
        <v>27374</v>
      </c>
      <c r="BY154" s="14">
        <v>55250</v>
      </c>
      <c r="BZ154" s="14">
        <v>0</v>
      </c>
      <c r="CA154" s="14">
        <v>49</v>
      </c>
      <c r="CB154" s="14">
        <v>55201</v>
      </c>
      <c r="CC154" s="14">
        <v>34506</v>
      </c>
      <c r="CD154" s="14">
        <v>14800</v>
      </c>
      <c r="CE154" s="14">
        <v>4772</v>
      </c>
      <c r="CF154" s="14">
        <v>914</v>
      </c>
      <c r="CG154" s="14">
        <v>59</v>
      </c>
      <c r="CH154" s="14">
        <v>36</v>
      </c>
      <c r="CI154" s="14">
        <v>163</v>
      </c>
      <c r="CJ154" s="14">
        <f t="shared" si="42"/>
        <v>1172</v>
      </c>
      <c r="CK154" s="14">
        <v>27641</v>
      </c>
      <c r="CL154" s="14">
        <v>27609</v>
      </c>
      <c r="CM154" s="14">
        <v>24762</v>
      </c>
      <c r="CN154" s="11">
        <f t="shared" si="43"/>
        <v>0.44818099547511314</v>
      </c>
      <c r="CO154" s="14">
        <v>30488</v>
      </c>
      <c r="CP154" s="11">
        <f t="shared" si="44"/>
        <v>0.55181900452488686</v>
      </c>
      <c r="CQ154" s="29">
        <v>2608</v>
      </c>
      <c r="CR154" s="29">
        <v>31659</v>
      </c>
      <c r="CS154" s="29">
        <v>20164</v>
      </c>
      <c r="CT154" s="29">
        <v>12148</v>
      </c>
      <c r="CU154" s="47">
        <v>8723</v>
      </c>
      <c r="CV154" s="47">
        <v>3082</v>
      </c>
      <c r="CW154" s="47">
        <v>3942</v>
      </c>
      <c r="CX154" s="47">
        <v>1287</v>
      </c>
      <c r="CY154" s="47">
        <v>412</v>
      </c>
      <c r="CZ154" s="31">
        <v>45</v>
      </c>
      <c r="DA154" s="47">
        <v>47</v>
      </c>
      <c r="DB154" s="47">
        <v>47</v>
      </c>
      <c r="DC154" s="47">
        <v>43</v>
      </c>
    </row>
    <row r="155" spans="1:107" x14ac:dyDescent="0.35">
      <c r="A155" s="1" t="s">
        <v>965</v>
      </c>
      <c r="B155" s="5" t="s">
        <v>0</v>
      </c>
      <c r="C155" s="3" t="s">
        <v>1050</v>
      </c>
      <c r="D155" s="4" t="s">
        <v>1051</v>
      </c>
      <c r="E155" s="5">
        <v>2</v>
      </c>
      <c r="F155" s="5">
        <v>44</v>
      </c>
      <c r="G155" s="2">
        <v>0.716242927197284</v>
      </c>
      <c r="H155" s="2" t="s">
        <v>1276</v>
      </c>
      <c r="I155" s="9" t="s">
        <v>13</v>
      </c>
      <c r="J15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ISLAHUDDIN ABAS </v>
      </c>
      <c r="K155" s="8">
        <v>18729</v>
      </c>
      <c r="L155" s="8" t="s">
        <v>8</v>
      </c>
      <c r="M155" s="7" t="s">
        <v>1053</v>
      </c>
      <c r="N155" s="8">
        <v>6813</v>
      </c>
      <c r="O155" s="8" t="s">
        <v>102</v>
      </c>
      <c r="P155" s="7" t="s">
        <v>1054</v>
      </c>
      <c r="Q155" s="8">
        <v>21066</v>
      </c>
      <c r="R155" s="8" t="s">
        <v>25</v>
      </c>
      <c r="S155" s="7" t="s">
        <v>1052</v>
      </c>
      <c r="T155" s="10">
        <v>2337</v>
      </c>
      <c r="U155" s="10">
        <v>0</v>
      </c>
      <c r="V155" s="10">
        <v>0</v>
      </c>
      <c r="W155" s="10">
        <v>1</v>
      </c>
      <c r="X155" s="10">
        <v>28873</v>
      </c>
      <c r="Y155" s="26" t="s">
        <v>14</v>
      </c>
      <c r="Z155" s="12" t="s">
        <v>1277</v>
      </c>
      <c r="AA155" s="13" t="s">
        <v>1055</v>
      </c>
      <c r="AB155" s="14">
        <v>8459</v>
      </c>
      <c r="AC155" s="15" t="s">
        <v>1056</v>
      </c>
      <c r="AD155" s="16">
        <v>29222</v>
      </c>
      <c r="AE155" s="14">
        <v>19806</v>
      </c>
      <c r="AF155" s="14">
        <v>6215</v>
      </c>
      <c r="AG155" s="14">
        <v>11347</v>
      </c>
      <c r="AH155" s="14" t="s">
        <v>17</v>
      </c>
      <c r="AI155" s="15" t="s">
        <v>18</v>
      </c>
      <c r="AJ155" s="14">
        <v>1</v>
      </c>
      <c r="AK155" s="14">
        <v>0</v>
      </c>
      <c r="AL155" s="14">
        <v>0</v>
      </c>
      <c r="AM155" s="51">
        <v>48176</v>
      </c>
      <c r="AN155" s="51">
        <v>39194</v>
      </c>
      <c r="AO155" s="51">
        <v>6882</v>
      </c>
      <c r="AP155" s="51">
        <v>614</v>
      </c>
      <c r="AQ155" s="51">
        <v>128</v>
      </c>
      <c r="AR155" s="51">
        <v>263</v>
      </c>
      <c r="AS155" s="51">
        <v>283</v>
      </c>
      <c r="AT155" s="51">
        <v>812</v>
      </c>
      <c r="AU155" s="51">
        <v>23951</v>
      </c>
      <c r="AV155" s="51">
        <v>24225</v>
      </c>
      <c r="AW155" s="51">
        <v>21408</v>
      </c>
      <c r="AX155" s="51">
        <v>26768</v>
      </c>
      <c r="AY155" s="14">
        <v>22035.333333333332</v>
      </c>
      <c r="AZ155" s="14">
        <v>66275</v>
      </c>
      <c r="BA155" s="14">
        <v>4</v>
      </c>
      <c r="BB155" s="14">
        <v>1682</v>
      </c>
      <c r="BC155" s="14">
        <v>64589</v>
      </c>
      <c r="BD155" s="14">
        <v>54201</v>
      </c>
      <c r="BE155" s="11">
        <f>Table14[[#This Row],[Melayu_Voters_GE15]]/Table14[[#This Row],[All_Voters_GE15]]</f>
        <v>0.81781969068276117</v>
      </c>
      <c r="BF155" s="14">
        <v>9072</v>
      </c>
      <c r="BG155" s="11">
        <f>Table14[[#This Row],[Chinese_Voters_GE15]]/Table14[[#This Row],[All_Voters_GE15]]</f>
        <v>0.13688419464353074</v>
      </c>
      <c r="BH155" s="14">
        <v>783</v>
      </c>
      <c r="BI155" s="11">
        <f>Table14[[#This Row],[India_Voters_GE15]]/Table14[[#This Row],[All_Voters_GE15]]</f>
        <v>1.1814409656733308E-2</v>
      </c>
      <c r="BJ155" s="14">
        <v>1409</v>
      </c>
      <c r="BK155" s="14">
        <v>359</v>
      </c>
      <c r="BL155" s="14">
        <v>331</v>
      </c>
      <c r="BM155" s="14">
        <v>120</v>
      </c>
      <c r="BN155" s="14">
        <f>Table14[[#This Row],[Lain_Voters_GE15]]+Table14[[#This Row],[Swak_Voters_GE15]]+Table14[[#This Row],[Sabah_Voters_GE15]]+Table14[[#This Row],[OA_Voters_GE15]]</f>
        <v>2219</v>
      </c>
      <c r="BO155" s="11">
        <f>Table14[[#This Row],[Base_Stock_GE15]]/Table14[[#This Row],[All_Voters_GE15]]</f>
        <v>0.43565447001131646</v>
      </c>
      <c r="BP155" s="14">
        <v>13307</v>
      </c>
      <c r="BQ155" s="10">
        <v>21681</v>
      </c>
      <c r="BR155" s="44">
        <v>10339</v>
      </c>
      <c r="BS155" s="10">
        <v>3286</v>
      </c>
      <c r="BT155" s="10">
        <v>33538</v>
      </c>
      <c r="BU155" s="10">
        <v>17736</v>
      </c>
      <c r="BV155" s="10">
        <v>11715</v>
      </c>
      <c r="BW155" s="10">
        <f t="shared" si="40"/>
        <v>36824</v>
      </c>
      <c r="BX155" s="10">
        <f t="shared" si="41"/>
        <v>29451</v>
      </c>
      <c r="BY155" s="14">
        <v>67695</v>
      </c>
      <c r="BZ155" s="14">
        <v>0</v>
      </c>
      <c r="CA155" s="14">
        <v>1821</v>
      </c>
      <c r="CB155" s="14">
        <v>65874</v>
      </c>
      <c r="CC155" s="14">
        <v>55670</v>
      </c>
      <c r="CD155" s="14">
        <v>8871</v>
      </c>
      <c r="CE155" s="14">
        <v>775</v>
      </c>
      <c r="CF155" s="14">
        <v>1425</v>
      </c>
      <c r="CG155" s="14">
        <v>252</v>
      </c>
      <c r="CH155" s="14">
        <v>232</v>
      </c>
      <c r="CI155" s="14">
        <v>470</v>
      </c>
      <c r="CJ155" s="14">
        <f t="shared" si="42"/>
        <v>2379</v>
      </c>
      <c r="CK155" s="14">
        <v>34200</v>
      </c>
      <c r="CL155" s="14">
        <v>33495</v>
      </c>
      <c r="CM155" s="14">
        <v>33881</v>
      </c>
      <c r="CN155" s="11">
        <f t="shared" si="43"/>
        <v>0.50049486668143883</v>
      </c>
      <c r="CO155" s="14">
        <v>33814</v>
      </c>
      <c r="CP155" s="11">
        <f t="shared" si="44"/>
        <v>0.49950513331856117</v>
      </c>
      <c r="CQ155" s="29">
        <v>1128</v>
      </c>
      <c r="CR155" s="29">
        <v>13656</v>
      </c>
      <c r="CS155" s="29">
        <v>8807</v>
      </c>
      <c r="CT155" s="29">
        <v>6029</v>
      </c>
      <c r="CU155" s="47">
        <v>9752</v>
      </c>
      <c r="CV155" s="47">
        <v>3461</v>
      </c>
      <c r="CW155" s="47">
        <v>4427</v>
      </c>
      <c r="CX155" s="47">
        <v>1257</v>
      </c>
      <c r="CY155" s="47">
        <v>607</v>
      </c>
      <c r="CZ155" s="31">
        <v>27</v>
      </c>
      <c r="DA155" s="47">
        <v>41</v>
      </c>
      <c r="DB155" s="47">
        <v>41</v>
      </c>
      <c r="DC155" s="47">
        <v>39</v>
      </c>
    </row>
    <row r="156" spans="1:107" x14ac:dyDescent="0.35">
      <c r="A156" s="1" t="s">
        <v>965</v>
      </c>
      <c r="B156" s="5" t="s">
        <v>0</v>
      </c>
      <c r="C156" s="3" t="s">
        <v>1057</v>
      </c>
      <c r="D156" s="4" t="s">
        <v>1058</v>
      </c>
      <c r="E156" s="5">
        <v>2</v>
      </c>
      <c r="F156" s="5">
        <v>26</v>
      </c>
      <c r="G156" s="2">
        <v>0.77268404315392158</v>
      </c>
      <c r="H156" s="2" t="s">
        <v>1276</v>
      </c>
      <c r="I156" s="21" t="s">
        <v>403</v>
      </c>
      <c r="J15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MANNDZRI BIN NASIB </v>
      </c>
      <c r="K156" s="8">
        <v>21185</v>
      </c>
      <c r="L156" s="8" t="s">
        <v>8</v>
      </c>
      <c r="M156" s="7" t="s">
        <v>1059</v>
      </c>
      <c r="N156" s="8">
        <v>11618</v>
      </c>
      <c r="O156" s="8" t="s">
        <v>23</v>
      </c>
      <c r="P156" s="7" t="s">
        <v>1060</v>
      </c>
      <c r="Q156" s="8">
        <v>18194</v>
      </c>
      <c r="R156" s="8" t="s">
        <v>12</v>
      </c>
      <c r="S156" s="7" t="s">
        <v>1061</v>
      </c>
      <c r="T156" s="10">
        <v>2991</v>
      </c>
      <c r="U156" s="10">
        <v>1</v>
      </c>
      <c r="V156" s="10">
        <v>0</v>
      </c>
      <c r="W156" s="10">
        <v>0</v>
      </c>
      <c r="X156" s="10">
        <v>37533</v>
      </c>
      <c r="Y156" s="12" t="s">
        <v>14</v>
      </c>
      <c r="Z156" s="12" t="s">
        <v>1277</v>
      </c>
      <c r="AA156" s="13" t="s">
        <v>1062</v>
      </c>
      <c r="AB156" s="14">
        <v>5933</v>
      </c>
      <c r="AC156" s="15" t="s">
        <v>699</v>
      </c>
      <c r="AD156" s="16">
        <v>30173</v>
      </c>
      <c r="AE156" s="14">
        <v>20142</v>
      </c>
      <c r="AF156" s="14">
        <v>2683</v>
      </c>
      <c r="AG156" s="14">
        <v>14209</v>
      </c>
      <c r="AH156" s="14" t="s">
        <v>17</v>
      </c>
      <c r="AI156" s="15" t="s">
        <v>18</v>
      </c>
      <c r="AJ156" s="14">
        <v>1</v>
      </c>
      <c r="AK156" s="14">
        <v>0</v>
      </c>
      <c r="AL156" s="14">
        <v>0</v>
      </c>
      <c r="AM156" s="51">
        <v>44749</v>
      </c>
      <c r="AN156" s="51">
        <v>33397</v>
      </c>
      <c r="AO156" s="51">
        <v>7217</v>
      </c>
      <c r="AP156" s="51">
        <v>2959</v>
      </c>
      <c r="AQ156" s="51">
        <v>217</v>
      </c>
      <c r="AR156" s="51">
        <v>207</v>
      </c>
      <c r="AS156" s="51">
        <v>502</v>
      </c>
      <c r="AT156" s="51">
        <v>250</v>
      </c>
      <c r="AU156" s="51">
        <v>22064</v>
      </c>
      <c r="AV156" s="51">
        <v>22685</v>
      </c>
      <c r="AW156" s="51">
        <v>19075</v>
      </c>
      <c r="AX156" s="51">
        <v>25674</v>
      </c>
      <c r="AY156" s="14">
        <v>21623.666666666668</v>
      </c>
      <c r="AZ156" s="14">
        <v>67294</v>
      </c>
      <c r="BA156" s="14">
        <v>9</v>
      </c>
      <c r="BB156" s="14">
        <v>2030</v>
      </c>
      <c r="BC156" s="14">
        <v>65255</v>
      </c>
      <c r="BD156" s="14">
        <v>49932</v>
      </c>
      <c r="BE156" s="11">
        <f>Table14[[#This Row],[Melayu_Voters_GE15]]/Table14[[#This Row],[All_Voters_GE15]]</f>
        <v>0.74199780069545573</v>
      </c>
      <c r="BF156" s="14">
        <v>10962</v>
      </c>
      <c r="BG156" s="11">
        <f>Table14[[#This Row],[Chinese_Voters_GE15]]/Table14[[#This Row],[All_Voters_GE15]]</f>
        <v>0.16289713793205932</v>
      </c>
      <c r="BH156" s="14">
        <v>4762</v>
      </c>
      <c r="BI156" s="11">
        <f>Table14[[#This Row],[India_Voters_GE15]]/Table14[[#This Row],[All_Voters_GE15]]</f>
        <v>7.0764109727464553E-2</v>
      </c>
      <c r="BJ156" s="14">
        <v>419</v>
      </c>
      <c r="BK156" s="14">
        <v>285</v>
      </c>
      <c r="BL156" s="14">
        <v>713</v>
      </c>
      <c r="BM156" s="14">
        <v>221</v>
      </c>
      <c r="BN156" s="14">
        <f>Table14[[#This Row],[Lain_Voters_GE15]]+Table14[[#This Row],[Swak_Voters_GE15]]+Table14[[#This Row],[Sabah_Voters_GE15]]+Table14[[#This Row],[OA_Voters_GE15]]</f>
        <v>1638</v>
      </c>
      <c r="BO156" s="11">
        <f>Table14[[#This Row],[Base_Stock_GE15]]/Table14[[#This Row],[All_Voters_GE15]]</f>
        <v>0.55774660445210567</v>
      </c>
      <c r="BP156" s="14">
        <v>28617</v>
      </c>
      <c r="BQ156" s="10">
        <v>24583</v>
      </c>
      <c r="BR156" s="44">
        <v>13639</v>
      </c>
      <c r="BS156" s="10">
        <v>4577</v>
      </c>
      <c r="BT156" s="10">
        <v>33384</v>
      </c>
      <c r="BU156" s="10">
        <v>20350</v>
      </c>
      <c r="BV156" s="10">
        <v>8983</v>
      </c>
      <c r="BW156" s="10">
        <f t="shared" si="40"/>
        <v>37961</v>
      </c>
      <c r="BX156" s="10">
        <f t="shared" si="41"/>
        <v>29333</v>
      </c>
      <c r="BY156" s="14">
        <v>71050</v>
      </c>
      <c r="BZ156" s="14">
        <v>0</v>
      </c>
      <c r="CA156" s="14">
        <v>2168</v>
      </c>
      <c r="CB156" s="14">
        <v>68882</v>
      </c>
      <c r="CC156" s="14">
        <v>53257</v>
      </c>
      <c r="CD156" s="14">
        <v>11165</v>
      </c>
      <c r="CE156" s="14">
        <v>4919</v>
      </c>
      <c r="CF156" s="14">
        <v>418</v>
      </c>
      <c r="CG156" s="14">
        <v>173</v>
      </c>
      <c r="CH156" s="14">
        <v>436</v>
      </c>
      <c r="CI156" s="14">
        <v>682</v>
      </c>
      <c r="CJ156" s="14">
        <f t="shared" si="42"/>
        <v>1709</v>
      </c>
      <c r="CK156" s="14">
        <v>35525</v>
      </c>
      <c r="CL156" s="14">
        <v>35525</v>
      </c>
      <c r="CM156" s="14">
        <v>37622</v>
      </c>
      <c r="CN156" s="11">
        <f t="shared" si="43"/>
        <v>0.52951442646023927</v>
      </c>
      <c r="CO156" s="14">
        <v>33428</v>
      </c>
      <c r="CP156" s="11">
        <f t="shared" si="44"/>
        <v>0.47048557353976073</v>
      </c>
      <c r="CQ156" s="29">
        <v>1420</v>
      </c>
      <c r="CR156" s="29">
        <v>18689</v>
      </c>
      <c r="CS156" s="29">
        <v>11017</v>
      </c>
      <c r="CT156" s="29">
        <v>7558</v>
      </c>
      <c r="CU156" s="47">
        <v>7868</v>
      </c>
      <c r="CV156" s="47">
        <v>2951</v>
      </c>
      <c r="CW156" s="47">
        <v>3705</v>
      </c>
      <c r="CX156" s="47">
        <v>829</v>
      </c>
      <c r="CY156" s="47">
        <v>383</v>
      </c>
      <c r="CZ156" s="31">
        <v>26</v>
      </c>
      <c r="DA156" s="47">
        <v>36</v>
      </c>
      <c r="DB156" s="47">
        <v>36</v>
      </c>
      <c r="DC156" s="47">
        <v>28</v>
      </c>
    </row>
    <row r="157" spans="1:107" x14ac:dyDescent="0.35">
      <c r="A157" s="1" t="s">
        <v>965</v>
      </c>
      <c r="B157" s="5" t="s">
        <v>0</v>
      </c>
      <c r="C157" s="3" t="s">
        <v>1063</v>
      </c>
      <c r="D157" s="4" t="s">
        <v>1064</v>
      </c>
      <c r="E157" s="5">
        <v>2</v>
      </c>
      <c r="F157" s="5">
        <v>30</v>
      </c>
      <c r="G157" s="2">
        <v>0.77911928341844638</v>
      </c>
      <c r="H157" s="2" t="s">
        <v>1276</v>
      </c>
      <c r="I157" s="21" t="s">
        <v>403</v>
      </c>
      <c r="J15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KHALED NORDIN </v>
      </c>
      <c r="K157" s="8">
        <v>25410</v>
      </c>
      <c r="L157" s="8" t="s">
        <v>8</v>
      </c>
      <c r="M157" s="7" t="s">
        <v>1065</v>
      </c>
      <c r="N157" s="8">
        <v>4903</v>
      </c>
      <c r="O157" s="8" t="s">
        <v>10</v>
      </c>
      <c r="P157" s="7" t="s">
        <v>1066</v>
      </c>
      <c r="Q157" s="8">
        <v>17020</v>
      </c>
      <c r="R157" s="8" t="s">
        <v>25</v>
      </c>
      <c r="S157" s="7" t="s">
        <v>1067</v>
      </c>
      <c r="T157" s="10">
        <v>8390</v>
      </c>
      <c r="U157" s="10">
        <v>1</v>
      </c>
      <c r="V157" s="10">
        <v>0</v>
      </c>
      <c r="W157" s="10">
        <v>0</v>
      </c>
      <c r="X157" s="10">
        <v>41451</v>
      </c>
      <c r="Y157" s="26" t="s">
        <v>14</v>
      </c>
      <c r="Z157" s="12" t="s">
        <v>1277</v>
      </c>
      <c r="AA157" s="13" t="s">
        <v>1068</v>
      </c>
      <c r="AB157" s="14">
        <v>14621</v>
      </c>
      <c r="AC157" s="15" t="s">
        <v>957</v>
      </c>
      <c r="AD157" s="16">
        <v>37614</v>
      </c>
      <c r="AE157" s="14">
        <v>26407</v>
      </c>
      <c r="AF157" s="14"/>
      <c r="AG157" s="14">
        <v>11786</v>
      </c>
      <c r="AH157" s="14" t="s">
        <v>17</v>
      </c>
      <c r="AI157" s="15" t="s">
        <v>18</v>
      </c>
      <c r="AJ157" s="14">
        <v>1</v>
      </c>
      <c r="AK157" s="14">
        <v>0</v>
      </c>
      <c r="AL157" s="14">
        <v>0</v>
      </c>
      <c r="AM157" s="51">
        <v>46677</v>
      </c>
      <c r="AN157" s="51">
        <v>41222</v>
      </c>
      <c r="AO157" s="51">
        <v>4328</v>
      </c>
      <c r="AP157" s="51">
        <v>876</v>
      </c>
      <c r="AQ157" s="51">
        <v>124</v>
      </c>
      <c r="AR157" s="51">
        <v>54</v>
      </c>
      <c r="AS157" s="51">
        <v>38</v>
      </c>
      <c r="AT157" s="51">
        <v>35</v>
      </c>
      <c r="AU157" s="51">
        <v>23255</v>
      </c>
      <c r="AV157" s="51">
        <v>23422</v>
      </c>
      <c r="AW157" s="51">
        <v>19473</v>
      </c>
      <c r="AX157" s="51">
        <v>27204</v>
      </c>
      <c r="AY157" s="14">
        <v>26487.333333333332</v>
      </c>
      <c r="AZ157" s="14">
        <v>61291</v>
      </c>
      <c r="BA157" s="14">
        <v>1</v>
      </c>
      <c r="BB157" s="14">
        <v>399</v>
      </c>
      <c r="BC157" s="14">
        <v>60891</v>
      </c>
      <c r="BD157" s="14">
        <v>54900</v>
      </c>
      <c r="BE157" s="11">
        <f>Table14[[#This Row],[Melayu_Voters_GE15]]/Table14[[#This Row],[All_Voters_GE15]]</f>
        <v>0.89572694196537828</v>
      </c>
      <c r="BF157" s="14">
        <v>4826</v>
      </c>
      <c r="BG157" s="11">
        <f>Table14[[#This Row],[Chinese_Voters_GE15]]/Table14[[#This Row],[All_Voters_GE15]]</f>
        <v>7.8739129725408294E-2</v>
      </c>
      <c r="BH157" s="14">
        <v>1105</v>
      </c>
      <c r="BI157" s="11">
        <f>Table14[[#This Row],[India_Voters_GE15]]/Table14[[#This Row],[All_Voters_GE15]]</f>
        <v>1.8028748103310437E-2</v>
      </c>
      <c r="BJ157" s="14">
        <v>81</v>
      </c>
      <c r="BK157" s="14">
        <v>84</v>
      </c>
      <c r="BL157" s="14">
        <v>105</v>
      </c>
      <c r="BM157" s="14">
        <v>190</v>
      </c>
      <c r="BN157" s="14">
        <f>Table14[[#This Row],[Lain_Voters_GE15]]+Table14[[#This Row],[Swak_Voters_GE15]]+Table14[[#This Row],[Sabah_Voters_GE15]]+Table14[[#This Row],[OA_Voters_GE15]]</f>
        <v>460</v>
      </c>
      <c r="BO157" s="11">
        <f>Table14[[#This Row],[Base_Stock_GE15]]/Table14[[#This Row],[All_Voters_GE15]]</f>
        <v>0.6762983145975755</v>
      </c>
      <c r="BP157" s="14">
        <v>30396</v>
      </c>
      <c r="BQ157" s="10">
        <v>17546</v>
      </c>
      <c r="BR157" s="44">
        <v>8728</v>
      </c>
      <c r="BS157" s="10">
        <v>2795</v>
      </c>
      <c r="BT157" s="10">
        <v>28709</v>
      </c>
      <c r="BU157" s="10">
        <v>18470</v>
      </c>
      <c r="BV157" s="10">
        <v>11317</v>
      </c>
      <c r="BW157" s="10">
        <f t="shared" ref="BW157:BW174" si="45">BS157+BT157</f>
        <v>31504</v>
      </c>
      <c r="BX157" s="10">
        <f t="shared" ref="BX157:BX174" si="46">BU157+BV157</f>
        <v>29787</v>
      </c>
      <c r="BY157" s="14">
        <v>61759</v>
      </c>
      <c r="BZ157" s="14">
        <v>0</v>
      </c>
      <c r="CA157" s="14">
        <v>54</v>
      </c>
      <c r="CB157" s="14">
        <v>61705</v>
      </c>
      <c r="CC157" s="14">
        <v>55666</v>
      </c>
      <c r="CD157" s="14">
        <v>4597</v>
      </c>
      <c r="CE157" s="14">
        <v>1039</v>
      </c>
      <c r="CF157" s="14">
        <v>79</v>
      </c>
      <c r="CG157" s="14">
        <v>62</v>
      </c>
      <c r="CH157" s="14">
        <v>84</v>
      </c>
      <c r="CI157" s="14">
        <v>232</v>
      </c>
      <c r="CJ157" s="14">
        <f t="shared" ref="CJ157:CJ174" si="47">SUM(CF157:CI157)</f>
        <v>457</v>
      </c>
      <c r="CK157" s="14">
        <v>30793</v>
      </c>
      <c r="CL157" s="14">
        <v>30966</v>
      </c>
      <c r="CM157" s="14">
        <v>27910</v>
      </c>
      <c r="CN157" s="11">
        <f t="shared" ref="CN157:CN174" si="48">CM157/$BY157</f>
        <v>0.45191793908580125</v>
      </c>
      <c r="CO157" s="14">
        <v>33849</v>
      </c>
      <c r="CP157" s="11">
        <f t="shared" ref="CP157:CP174" si="49">CO157/$BY157</f>
        <v>0.54808206091419875</v>
      </c>
      <c r="CQ157" s="29">
        <v>1471</v>
      </c>
      <c r="CR157" s="29">
        <v>14486</v>
      </c>
      <c r="CS157" s="29">
        <v>9008</v>
      </c>
      <c r="CT157" s="29">
        <v>4483</v>
      </c>
      <c r="CU157" s="47">
        <v>4820</v>
      </c>
      <c r="CV157" s="47">
        <v>1589</v>
      </c>
      <c r="CW157" s="47">
        <v>2123</v>
      </c>
      <c r="CX157" s="47">
        <v>697</v>
      </c>
      <c r="CY157" s="47">
        <v>411</v>
      </c>
      <c r="CZ157" s="31">
        <v>16</v>
      </c>
      <c r="DA157" s="47">
        <v>23</v>
      </c>
      <c r="DB157" s="47">
        <v>23</v>
      </c>
      <c r="DC157" s="47">
        <v>22</v>
      </c>
    </row>
    <row r="158" spans="1:107" x14ac:dyDescent="0.35">
      <c r="A158" s="1" t="s">
        <v>965</v>
      </c>
      <c r="B158" s="5" t="s">
        <v>0</v>
      </c>
      <c r="C158" s="3" t="s">
        <v>1069</v>
      </c>
      <c r="D158" s="4" t="s">
        <v>1070</v>
      </c>
      <c r="E158" s="5">
        <v>2</v>
      </c>
      <c r="F158" s="5">
        <v>25</v>
      </c>
      <c r="G158" s="2">
        <v>0.76448043965579582</v>
      </c>
      <c r="H158" s="2" t="s">
        <v>1276</v>
      </c>
      <c r="I158" s="21" t="s">
        <v>403</v>
      </c>
      <c r="J15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AZALINA OTHMAN SAID </v>
      </c>
      <c r="K158" s="8">
        <v>21738</v>
      </c>
      <c r="L158" s="8" t="s">
        <v>8</v>
      </c>
      <c r="M158" s="7" t="s">
        <v>1071</v>
      </c>
      <c r="N158" s="8">
        <v>3374</v>
      </c>
      <c r="O158" s="8" t="s">
        <v>10</v>
      </c>
      <c r="P158" s="7" t="s">
        <v>1072</v>
      </c>
      <c r="Q158" s="8">
        <v>16728</v>
      </c>
      <c r="R158" s="8" t="s">
        <v>25</v>
      </c>
      <c r="S158" s="7" t="s">
        <v>1073</v>
      </c>
      <c r="T158" s="10">
        <v>5010</v>
      </c>
      <c r="U158" s="10">
        <v>1</v>
      </c>
      <c r="V158" s="10">
        <v>0</v>
      </c>
      <c r="W158" s="10">
        <v>0</v>
      </c>
      <c r="X158" s="10">
        <v>36153</v>
      </c>
      <c r="Y158" s="12" t="s">
        <v>14</v>
      </c>
      <c r="Z158" s="12" t="s">
        <v>1277</v>
      </c>
      <c r="AA158" s="13" t="s">
        <v>1074</v>
      </c>
      <c r="AB158" s="14">
        <v>11417</v>
      </c>
      <c r="AC158" s="15" t="s">
        <v>1075</v>
      </c>
      <c r="AD158" s="16">
        <v>27021</v>
      </c>
      <c r="AE158" s="14">
        <v>21829</v>
      </c>
      <c r="AF158" s="14"/>
      <c r="AG158" s="14">
        <v>10412</v>
      </c>
      <c r="AH158" s="14" t="s">
        <v>17</v>
      </c>
      <c r="AI158" s="15" t="s">
        <v>18</v>
      </c>
      <c r="AJ158" s="14">
        <v>1</v>
      </c>
      <c r="AK158" s="14">
        <v>0</v>
      </c>
      <c r="AL158" s="14">
        <v>0</v>
      </c>
      <c r="AM158" s="51">
        <v>40479</v>
      </c>
      <c r="AN158" s="51">
        <v>36246</v>
      </c>
      <c r="AO158" s="51">
        <v>3590</v>
      </c>
      <c r="AP158" s="51">
        <v>315</v>
      </c>
      <c r="AQ158" s="51">
        <v>69</v>
      </c>
      <c r="AR158" s="51">
        <v>102</v>
      </c>
      <c r="AS158" s="51">
        <v>70</v>
      </c>
      <c r="AT158" s="51">
        <v>87</v>
      </c>
      <c r="AU158" s="51">
        <v>20152</v>
      </c>
      <c r="AV158" s="51">
        <v>20327</v>
      </c>
      <c r="AW158" s="51">
        <v>16112</v>
      </c>
      <c r="AX158" s="51">
        <v>24367</v>
      </c>
      <c r="AY158" s="14">
        <v>24410.5</v>
      </c>
      <c r="AZ158" s="14">
        <v>55316</v>
      </c>
      <c r="BA158" s="14">
        <v>2</v>
      </c>
      <c r="BB158" s="14">
        <v>740</v>
      </c>
      <c r="BC158" s="14">
        <v>54574</v>
      </c>
      <c r="BD158" s="14">
        <v>49849</v>
      </c>
      <c r="BE158" s="11">
        <f>Table14[[#This Row],[Melayu_Voters_GE15]]/Table14[[#This Row],[All_Voters_GE15]]</f>
        <v>0.90116783570757109</v>
      </c>
      <c r="BF158" s="14">
        <v>4456</v>
      </c>
      <c r="BG158" s="11">
        <f>Table14[[#This Row],[Chinese_Voters_GE15]]/Table14[[#This Row],[All_Voters_GE15]]</f>
        <v>8.055535468942078E-2</v>
      </c>
      <c r="BH158" s="14">
        <v>423</v>
      </c>
      <c r="BI158" s="11">
        <f>Table14[[#This Row],[India_Voters_GE15]]/Table14[[#This Row],[All_Voters_GE15]]</f>
        <v>7.6469737508135082E-3</v>
      </c>
      <c r="BJ158" s="14">
        <v>219</v>
      </c>
      <c r="BK158" s="14">
        <v>142</v>
      </c>
      <c r="BL158" s="14">
        <v>141</v>
      </c>
      <c r="BM158" s="14">
        <v>86</v>
      </c>
      <c r="BN158" s="14">
        <f>Table14[[#This Row],[Lain_Voters_GE15]]+Table14[[#This Row],[Swak_Voters_GE15]]+Table14[[#This Row],[Sabah_Voters_GE15]]+Table14[[#This Row],[OA_Voters_GE15]]</f>
        <v>588</v>
      </c>
      <c r="BO158" s="11">
        <f>Table14[[#This Row],[Base_Stock_GE15]]/Table14[[#This Row],[All_Voters_GE15]]</f>
        <v>0.65357220334080557</v>
      </c>
      <c r="BP158" s="14">
        <v>15673</v>
      </c>
      <c r="BQ158" s="10">
        <v>18283</v>
      </c>
      <c r="BR158" s="44">
        <v>8224</v>
      </c>
      <c r="BS158" s="10">
        <v>2728</v>
      </c>
      <c r="BT158" s="10">
        <v>25231</v>
      </c>
      <c r="BU158" s="10">
        <v>17652</v>
      </c>
      <c r="BV158" s="10">
        <v>9705</v>
      </c>
      <c r="BW158" s="10">
        <f t="shared" si="45"/>
        <v>27959</v>
      </c>
      <c r="BX158" s="10">
        <f t="shared" si="46"/>
        <v>27357</v>
      </c>
      <c r="BY158" s="14">
        <v>57923</v>
      </c>
      <c r="BZ158" s="14">
        <v>0</v>
      </c>
      <c r="CA158" s="14">
        <v>2143</v>
      </c>
      <c r="CB158" s="14">
        <v>55780</v>
      </c>
      <c r="CC158" s="14">
        <v>52349</v>
      </c>
      <c r="CD158" s="14">
        <v>4244</v>
      </c>
      <c r="CE158" s="14">
        <v>451</v>
      </c>
      <c r="CF158" s="14">
        <v>224</v>
      </c>
      <c r="CG158" s="14">
        <v>220</v>
      </c>
      <c r="CH158" s="14">
        <v>214</v>
      </c>
      <c r="CI158" s="14">
        <v>221</v>
      </c>
      <c r="CJ158" s="14">
        <f t="shared" si="47"/>
        <v>879</v>
      </c>
      <c r="CK158" s="14">
        <v>29673</v>
      </c>
      <c r="CL158" s="14">
        <v>28250</v>
      </c>
      <c r="CM158" s="14">
        <v>26720</v>
      </c>
      <c r="CN158" s="11">
        <f t="shared" si="48"/>
        <v>0.4613020734423286</v>
      </c>
      <c r="CO158" s="14">
        <v>31203</v>
      </c>
      <c r="CP158" s="11">
        <f t="shared" si="49"/>
        <v>0.53869792655767135</v>
      </c>
      <c r="CQ158" s="29">
        <v>1210</v>
      </c>
      <c r="CR158" s="29">
        <v>13191</v>
      </c>
      <c r="CS158" s="29">
        <v>11238</v>
      </c>
      <c r="CT158" s="29">
        <v>6873</v>
      </c>
      <c r="CU158" s="47">
        <v>6149</v>
      </c>
      <c r="CV158" s="47">
        <v>2444</v>
      </c>
      <c r="CW158" s="47">
        <v>2893</v>
      </c>
      <c r="CX158" s="47">
        <v>571</v>
      </c>
      <c r="CY158" s="47">
        <v>241</v>
      </c>
      <c r="CZ158" s="31">
        <v>46</v>
      </c>
      <c r="DA158" s="47">
        <v>21</v>
      </c>
      <c r="DB158" s="47">
        <v>20</v>
      </c>
      <c r="DC158" s="47">
        <v>18</v>
      </c>
    </row>
    <row r="159" spans="1:107" x14ac:dyDescent="0.35">
      <c r="A159" s="1" t="s">
        <v>965</v>
      </c>
      <c r="B159" s="5" t="s">
        <v>0</v>
      </c>
      <c r="C159" s="3" t="s">
        <v>1076</v>
      </c>
      <c r="D159" s="4" t="s">
        <v>1077</v>
      </c>
      <c r="E159" s="5">
        <v>2</v>
      </c>
      <c r="F159" s="5">
        <v>44</v>
      </c>
      <c r="G159" s="2">
        <v>0.75867998799826242</v>
      </c>
      <c r="H159" s="2" t="s">
        <v>1276</v>
      </c>
      <c r="I159" s="17" t="s">
        <v>121</v>
      </c>
      <c r="J159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JIMMY PUAH WEE TSE </v>
      </c>
      <c r="K159" s="8">
        <v>30767</v>
      </c>
      <c r="L159" s="8" t="s">
        <v>77</v>
      </c>
      <c r="M159" s="7" t="s">
        <v>1079</v>
      </c>
      <c r="N159" s="8">
        <v>83959</v>
      </c>
      <c r="O159" s="8" t="s">
        <v>23</v>
      </c>
      <c r="P159" s="7" t="s">
        <v>1078</v>
      </c>
      <c r="Q159" s="8">
        <v>53239</v>
      </c>
      <c r="R159" s="8" t="s">
        <v>25</v>
      </c>
      <c r="S159" s="7" t="s">
        <v>1080</v>
      </c>
      <c r="T159" s="10">
        <v>30720</v>
      </c>
      <c r="U159" s="10">
        <v>0</v>
      </c>
      <c r="V159" s="10">
        <v>1</v>
      </c>
      <c r="W159" s="10">
        <v>0</v>
      </c>
      <c r="X159" s="10">
        <v>65150</v>
      </c>
      <c r="Y159" s="12" t="s">
        <v>26</v>
      </c>
      <c r="Z159" s="12" t="s">
        <v>1277</v>
      </c>
      <c r="AA159" s="13" t="s">
        <v>1081</v>
      </c>
      <c r="AB159" s="14">
        <v>37225</v>
      </c>
      <c r="AC159" s="15" t="s">
        <v>964</v>
      </c>
      <c r="AD159" s="16">
        <v>44802</v>
      </c>
      <c r="AE159" s="14">
        <v>27310</v>
      </c>
      <c r="AF159" s="14">
        <v>12098</v>
      </c>
      <c r="AG159" s="14">
        <v>64535</v>
      </c>
      <c r="AH159" s="14" t="s">
        <v>82</v>
      </c>
      <c r="AI159" s="15" t="s">
        <v>29</v>
      </c>
      <c r="AJ159" s="14">
        <v>0</v>
      </c>
      <c r="AK159" s="14">
        <v>1</v>
      </c>
      <c r="AL159" s="14">
        <v>0</v>
      </c>
      <c r="AM159" s="51">
        <v>123033</v>
      </c>
      <c r="AN159" s="51">
        <v>57944</v>
      </c>
      <c r="AO159" s="51">
        <v>48429</v>
      </c>
      <c r="AP159" s="51">
        <v>14228</v>
      </c>
      <c r="AQ159" s="51">
        <v>1052</v>
      </c>
      <c r="AR159" s="51">
        <v>498</v>
      </c>
      <c r="AS159" s="51">
        <v>785</v>
      </c>
      <c r="AT159" s="51">
        <v>97</v>
      </c>
      <c r="AU159" s="51">
        <v>61752</v>
      </c>
      <c r="AV159" s="51">
        <v>61281</v>
      </c>
      <c r="AW159" s="51">
        <v>51103</v>
      </c>
      <c r="AX159" s="51">
        <v>71930</v>
      </c>
      <c r="AY159" s="14">
        <v>32718.333333333332</v>
      </c>
      <c r="AZ159" s="14">
        <v>223301</v>
      </c>
      <c r="BA159" s="14">
        <v>20</v>
      </c>
      <c r="BB159" s="14">
        <v>278</v>
      </c>
      <c r="BC159" s="14">
        <v>223003</v>
      </c>
      <c r="BD159" s="14">
        <v>105382</v>
      </c>
      <c r="BE159" s="11">
        <f>Table14[[#This Row],[Melayu_Voters_GE15]]/Table14[[#This Row],[All_Voters_GE15]]</f>
        <v>0.47192802540069234</v>
      </c>
      <c r="BF159" s="14">
        <v>86779</v>
      </c>
      <c r="BG159" s="11">
        <f>Table14[[#This Row],[Chinese_Voters_GE15]]/Table14[[#This Row],[All_Voters_GE15]]</f>
        <v>0.38861894931057184</v>
      </c>
      <c r="BH159" s="14">
        <v>25429</v>
      </c>
      <c r="BI159" s="11">
        <f>Table14[[#This Row],[India_Voters_GE15]]/Table14[[#This Row],[All_Voters_GE15]]</f>
        <v>0.11387768079856338</v>
      </c>
      <c r="BJ159" s="14">
        <v>225</v>
      </c>
      <c r="BK159" s="14">
        <v>1189</v>
      </c>
      <c r="BL159" s="14">
        <v>2830</v>
      </c>
      <c r="BM159" s="14">
        <v>1467</v>
      </c>
      <c r="BN159" s="14">
        <f>Table14[[#This Row],[Lain_Voters_GE15]]+Table14[[#This Row],[Swak_Voters_GE15]]+Table14[[#This Row],[Sabah_Voters_GE15]]+Table14[[#This Row],[OA_Voters_GE15]]</f>
        <v>5711</v>
      </c>
      <c r="BO159" s="11">
        <f>Table14[[#This Row],[Base_Stock_GE15]]/Table14[[#This Row],[All_Voters_GE15]]</f>
        <v>0.29175865759669684</v>
      </c>
      <c r="BP159" s="14">
        <v>47715</v>
      </c>
      <c r="BQ159" s="10">
        <v>100576</v>
      </c>
      <c r="BR159" s="44">
        <v>55476</v>
      </c>
      <c r="BS159" s="10">
        <v>19617</v>
      </c>
      <c r="BT159" s="10">
        <v>111091</v>
      </c>
      <c r="BU159" s="10">
        <v>70711</v>
      </c>
      <c r="BV159" s="10">
        <v>21882</v>
      </c>
      <c r="BW159" s="10">
        <f t="shared" si="45"/>
        <v>130708</v>
      </c>
      <c r="BX159" s="10">
        <f t="shared" si="46"/>
        <v>92593</v>
      </c>
      <c r="BY159" s="14">
        <v>244743</v>
      </c>
      <c r="BZ159" s="14">
        <v>0</v>
      </c>
      <c r="CA159" s="14">
        <v>295</v>
      </c>
      <c r="CB159" s="14">
        <v>244448</v>
      </c>
      <c r="CC159" s="14">
        <v>116995</v>
      </c>
      <c r="CD159" s="14">
        <v>94362</v>
      </c>
      <c r="CE159" s="14">
        <v>26855</v>
      </c>
      <c r="CF159" s="14">
        <v>221</v>
      </c>
      <c r="CG159" s="14">
        <v>1251</v>
      </c>
      <c r="CH159" s="14">
        <v>2946</v>
      </c>
      <c r="CI159" s="14">
        <v>2113</v>
      </c>
      <c r="CJ159" s="14">
        <f t="shared" si="47"/>
        <v>6531</v>
      </c>
      <c r="CK159" s="14">
        <v>123179</v>
      </c>
      <c r="CL159" s="14">
        <v>121564</v>
      </c>
      <c r="CM159" s="14">
        <v>137960</v>
      </c>
      <c r="CN159" s="11">
        <f t="shared" si="48"/>
        <v>0.56369334362984846</v>
      </c>
      <c r="CO159" s="14">
        <v>106783</v>
      </c>
      <c r="CP159" s="11">
        <f t="shared" si="49"/>
        <v>0.43630665637015154</v>
      </c>
      <c r="CQ159" s="29">
        <v>1315</v>
      </c>
      <c r="CR159" s="29">
        <v>11026</v>
      </c>
      <c r="CS159" s="29">
        <v>8668</v>
      </c>
      <c r="CT159" s="29">
        <v>5126</v>
      </c>
      <c r="CU159" s="47">
        <v>5601</v>
      </c>
      <c r="CV159" s="47">
        <v>2074</v>
      </c>
      <c r="CW159" s="47">
        <v>2850</v>
      </c>
      <c r="CX159" s="47">
        <v>391</v>
      </c>
      <c r="CY159" s="47">
        <v>286</v>
      </c>
      <c r="CZ159" s="47">
        <v>21</v>
      </c>
      <c r="DA159" s="47">
        <v>21</v>
      </c>
      <c r="DB159" s="47">
        <v>20</v>
      </c>
      <c r="DC159" s="47">
        <v>17</v>
      </c>
    </row>
    <row r="160" spans="1:107" x14ac:dyDescent="0.35">
      <c r="A160" s="1" t="s">
        <v>965</v>
      </c>
      <c r="B160" s="5" t="s">
        <v>0</v>
      </c>
      <c r="C160" s="3" t="s">
        <v>1082</v>
      </c>
      <c r="D160" s="4" t="s">
        <v>1083</v>
      </c>
      <c r="E160" s="5">
        <v>2</v>
      </c>
      <c r="F160" s="5">
        <v>42</v>
      </c>
      <c r="G160" s="2">
        <v>0.76013804569614829</v>
      </c>
      <c r="H160" s="2" t="s">
        <v>1276</v>
      </c>
      <c r="I160" s="17" t="s">
        <v>121</v>
      </c>
      <c r="J160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HASSAN ABDUL KARIM </v>
      </c>
      <c r="K160" s="8">
        <v>37369</v>
      </c>
      <c r="L160" s="8" t="s">
        <v>8</v>
      </c>
      <c r="M160" s="7" t="s">
        <v>1085</v>
      </c>
      <c r="N160" s="8">
        <v>71233</v>
      </c>
      <c r="O160" s="8" t="s">
        <v>23</v>
      </c>
      <c r="P160" s="7" t="s">
        <v>1084</v>
      </c>
      <c r="Q160" s="8">
        <v>39675</v>
      </c>
      <c r="R160" s="8" t="s">
        <v>25</v>
      </c>
      <c r="S160" s="7" t="s">
        <v>1086</v>
      </c>
      <c r="T160" s="10">
        <v>31558</v>
      </c>
      <c r="U160" s="10">
        <v>0</v>
      </c>
      <c r="V160" s="10">
        <v>1</v>
      </c>
      <c r="W160" s="10">
        <v>0</v>
      </c>
      <c r="X160" s="10">
        <v>59013</v>
      </c>
      <c r="Y160" s="12" t="s">
        <v>26</v>
      </c>
      <c r="Z160" s="12" t="s">
        <v>1277</v>
      </c>
      <c r="AA160" s="13" t="s">
        <v>1087</v>
      </c>
      <c r="AB160" s="14">
        <v>24726</v>
      </c>
      <c r="AC160" s="15" t="s">
        <v>829</v>
      </c>
      <c r="AD160" s="16">
        <v>67314</v>
      </c>
      <c r="AE160" s="14">
        <v>36889</v>
      </c>
      <c r="AF160" s="14">
        <v>6278</v>
      </c>
      <c r="AG160" s="14">
        <v>61615</v>
      </c>
      <c r="AH160" s="14" t="s">
        <v>17</v>
      </c>
      <c r="AI160" s="15" t="s">
        <v>29</v>
      </c>
      <c r="AJ160" s="14">
        <v>0</v>
      </c>
      <c r="AK160" s="14">
        <v>1</v>
      </c>
      <c r="AL160" s="14">
        <v>0</v>
      </c>
      <c r="AM160" s="51">
        <v>124172</v>
      </c>
      <c r="AN160" s="51">
        <v>60516</v>
      </c>
      <c r="AO160" s="51">
        <v>45980</v>
      </c>
      <c r="AP160" s="51">
        <v>13006</v>
      </c>
      <c r="AQ160" s="51">
        <v>964</v>
      </c>
      <c r="AR160" s="51">
        <v>1920</v>
      </c>
      <c r="AS160" s="51">
        <v>1692</v>
      </c>
      <c r="AT160" s="51">
        <v>94</v>
      </c>
      <c r="AU160" s="51">
        <v>62615</v>
      </c>
      <c r="AV160" s="51">
        <v>61557</v>
      </c>
      <c r="AW160" s="51">
        <v>50032</v>
      </c>
      <c r="AX160" s="51">
        <v>74140</v>
      </c>
      <c r="AY160" s="14">
        <v>38857.333333333336</v>
      </c>
      <c r="AZ160" s="14">
        <v>198485</v>
      </c>
      <c r="BA160" s="14">
        <v>26</v>
      </c>
      <c r="BB160" s="14">
        <v>2035</v>
      </c>
      <c r="BC160" s="14">
        <v>196424</v>
      </c>
      <c r="BD160" s="14">
        <v>96187</v>
      </c>
      <c r="BE160" s="11">
        <f>Table14[[#This Row],[Melayu_Voters_GE15]]/Table14[[#This Row],[All_Voters_GE15]]</f>
        <v>0.48460588961382473</v>
      </c>
      <c r="BF160" s="14">
        <v>71713</v>
      </c>
      <c r="BG160" s="11">
        <f>Table14[[#This Row],[Chinese_Voters_GE15]]/Table14[[#This Row],[All_Voters_GE15]]</f>
        <v>0.36130186160163236</v>
      </c>
      <c r="BH160" s="14">
        <v>20238</v>
      </c>
      <c r="BI160" s="11">
        <f>Table14[[#This Row],[India_Voters_GE15]]/Table14[[#This Row],[All_Voters_GE15]]</f>
        <v>0.10196236491422525</v>
      </c>
      <c r="BJ160" s="14">
        <v>253</v>
      </c>
      <c r="BK160" s="14">
        <v>4563</v>
      </c>
      <c r="BL160" s="14">
        <v>4644</v>
      </c>
      <c r="BM160" s="14">
        <v>887</v>
      </c>
      <c r="BN160" s="14">
        <f>Table14[[#This Row],[Lain_Voters_GE15]]+Table14[[#This Row],[Swak_Voters_GE15]]+Table14[[#This Row],[Sabah_Voters_GE15]]+Table14[[#This Row],[OA_Voters_GE15]]</f>
        <v>10347</v>
      </c>
      <c r="BO160" s="11">
        <f>Table14[[#This Row],[Base_Stock_GE15]]/Table14[[#This Row],[All_Voters_GE15]]</f>
        <v>0.2973171776204751</v>
      </c>
      <c r="BP160" s="14">
        <v>45095</v>
      </c>
      <c r="BQ160" s="10">
        <v>76942</v>
      </c>
      <c r="BR160" s="44">
        <v>40999</v>
      </c>
      <c r="BS160" s="10">
        <v>13547</v>
      </c>
      <c r="BT160" s="10">
        <v>95716</v>
      </c>
      <c r="BU160" s="10">
        <v>65625</v>
      </c>
      <c r="BV160" s="10">
        <v>23597</v>
      </c>
      <c r="BW160" s="10">
        <f t="shared" si="45"/>
        <v>109263</v>
      </c>
      <c r="BX160" s="10">
        <f t="shared" si="46"/>
        <v>89222</v>
      </c>
      <c r="BY160" s="14">
        <v>210769</v>
      </c>
      <c r="BZ160" s="14">
        <v>0</v>
      </c>
      <c r="CA160" s="14">
        <v>1891</v>
      </c>
      <c r="CB160" s="14">
        <v>208878</v>
      </c>
      <c r="CC160" s="14">
        <v>103806</v>
      </c>
      <c r="CD160" s="14">
        <v>74211</v>
      </c>
      <c r="CE160" s="14">
        <v>21000</v>
      </c>
      <c r="CF160" s="14">
        <v>254</v>
      </c>
      <c r="CG160" s="14">
        <v>4812</v>
      </c>
      <c r="CH160" s="14">
        <v>4754</v>
      </c>
      <c r="CI160" s="14">
        <v>1932</v>
      </c>
      <c r="CJ160" s="14">
        <f t="shared" si="47"/>
        <v>11752</v>
      </c>
      <c r="CK160" s="14">
        <v>106358</v>
      </c>
      <c r="CL160" s="14">
        <v>104411</v>
      </c>
      <c r="CM160" s="14">
        <v>109915</v>
      </c>
      <c r="CN160" s="11">
        <f t="shared" si="48"/>
        <v>0.52149509652747794</v>
      </c>
      <c r="CO160" s="14">
        <v>100854</v>
      </c>
      <c r="CP160" s="11">
        <f t="shared" si="49"/>
        <v>0.47850490347252206</v>
      </c>
      <c r="CQ160" s="29">
        <v>9124</v>
      </c>
      <c r="CR160" s="29">
        <v>61363</v>
      </c>
      <c r="CS160" s="29">
        <v>40207</v>
      </c>
      <c r="CT160" s="29">
        <v>14301</v>
      </c>
      <c r="CU160" s="47">
        <v>6779</v>
      </c>
      <c r="CV160" s="47">
        <v>2599</v>
      </c>
      <c r="CW160" s="47">
        <v>2849</v>
      </c>
      <c r="CX160" s="47">
        <v>1030</v>
      </c>
      <c r="CY160" s="47">
        <v>301</v>
      </c>
      <c r="CZ160" s="47">
        <v>53</v>
      </c>
      <c r="DA160" s="47">
        <v>53</v>
      </c>
      <c r="DB160" s="47">
        <v>49</v>
      </c>
      <c r="DC160" s="47">
        <v>44</v>
      </c>
    </row>
    <row r="161" spans="1:107" x14ac:dyDescent="0.35">
      <c r="A161" s="1" t="s">
        <v>965</v>
      </c>
      <c r="B161" s="5" t="s">
        <v>0</v>
      </c>
      <c r="C161" s="3" t="s">
        <v>1088</v>
      </c>
      <c r="D161" s="4" t="s">
        <v>1089</v>
      </c>
      <c r="E161" s="5">
        <v>2</v>
      </c>
      <c r="F161" s="5">
        <v>40</v>
      </c>
      <c r="G161" s="2">
        <v>0.70046491845594272</v>
      </c>
      <c r="H161" s="2" t="s">
        <v>1276</v>
      </c>
      <c r="I161" s="17" t="s">
        <v>121</v>
      </c>
      <c r="J161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AKMAL NASIR </v>
      </c>
      <c r="K161" s="8">
        <v>27211</v>
      </c>
      <c r="L161" s="8" t="s">
        <v>8</v>
      </c>
      <c r="M161" s="7" t="s">
        <v>1091</v>
      </c>
      <c r="N161" s="8">
        <v>43252</v>
      </c>
      <c r="O161" s="8" t="s">
        <v>23</v>
      </c>
      <c r="P161" s="7" t="s">
        <v>1090</v>
      </c>
      <c r="Q161" s="8">
        <v>22075</v>
      </c>
      <c r="R161" s="8" t="s">
        <v>25</v>
      </c>
      <c r="S161" s="7" t="s">
        <v>1092</v>
      </c>
      <c r="T161" s="10">
        <v>16041</v>
      </c>
      <c r="U161" s="10">
        <v>0</v>
      </c>
      <c r="V161" s="10">
        <v>1</v>
      </c>
      <c r="W161" s="10">
        <v>0</v>
      </c>
      <c r="X161" s="10">
        <v>34365</v>
      </c>
      <c r="Y161" s="12" t="s">
        <v>26</v>
      </c>
      <c r="Z161" s="12" t="s">
        <v>1277</v>
      </c>
      <c r="AA161" s="13" t="s">
        <v>1093</v>
      </c>
      <c r="AB161" s="14">
        <v>19782</v>
      </c>
      <c r="AC161" s="15" t="s">
        <v>357</v>
      </c>
      <c r="AD161" s="16">
        <v>46712</v>
      </c>
      <c r="AE161" s="14">
        <v>30270</v>
      </c>
      <c r="AF161" s="14"/>
      <c r="AG161" s="14">
        <v>50052</v>
      </c>
      <c r="AH161" s="14" t="s">
        <v>17</v>
      </c>
      <c r="AI161" s="15" t="s">
        <v>29</v>
      </c>
      <c r="AJ161" s="14">
        <v>0</v>
      </c>
      <c r="AK161" s="14">
        <v>1</v>
      </c>
      <c r="AL161" s="14">
        <v>0</v>
      </c>
      <c r="AM161" s="51">
        <v>101409</v>
      </c>
      <c r="AN161" s="51">
        <v>53309</v>
      </c>
      <c r="AO161" s="51">
        <v>41671</v>
      </c>
      <c r="AP161" s="51">
        <v>5302</v>
      </c>
      <c r="AQ161" s="51">
        <v>611</v>
      </c>
      <c r="AR161" s="51">
        <v>289</v>
      </c>
      <c r="AS161" s="51">
        <v>210</v>
      </c>
      <c r="AT161" s="51">
        <v>17</v>
      </c>
      <c r="AU161" s="51">
        <v>49985</v>
      </c>
      <c r="AV161" s="51">
        <v>51424</v>
      </c>
      <c r="AW161" s="51">
        <v>29721</v>
      </c>
      <c r="AX161" s="51">
        <v>71688</v>
      </c>
      <c r="AY161" s="14">
        <v>39232.666666666664</v>
      </c>
      <c r="AZ161" s="14">
        <v>136368</v>
      </c>
      <c r="BA161" s="14">
        <v>29</v>
      </c>
      <c r="BB161" s="14">
        <v>1993</v>
      </c>
      <c r="BC161" s="14">
        <v>134346</v>
      </c>
      <c r="BD161" s="14">
        <v>73146</v>
      </c>
      <c r="BE161" s="11">
        <f>Table14[[#This Row],[Melayu_Voters_GE15]]/Table14[[#This Row],[All_Voters_GE15]]</f>
        <v>0.53638683562126011</v>
      </c>
      <c r="BF161" s="14">
        <v>53353</v>
      </c>
      <c r="BG161" s="11">
        <f>Table14[[#This Row],[Chinese_Voters_GE15]]/Table14[[#This Row],[All_Voters_GE15]]</f>
        <v>0.39124281356329932</v>
      </c>
      <c r="BH161" s="14">
        <v>8208</v>
      </c>
      <c r="BI161" s="11">
        <f>Table14[[#This Row],[India_Voters_GE15]]/Table14[[#This Row],[All_Voters_GE15]]</f>
        <v>6.0190073917634639E-2</v>
      </c>
      <c r="BJ161" s="14">
        <v>40</v>
      </c>
      <c r="BK161" s="14">
        <v>607</v>
      </c>
      <c r="BL161" s="14">
        <v>553</v>
      </c>
      <c r="BM161" s="14">
        <v>461</v>
      </c>
      <c r="BN161" s="14">
        <f>Table14[[#This Row],[Lain_Voters_GE15]]+Table14[[#This Row],[Swak_Voters_GE15]]+Table14[[#This Row],[Sabah_Voters_GE15]]+Table14[[#This Row],[OA_Voters_GE15]]</f>
        <v>1661</v>
      </c>
      <c r="BO161" s="11">
        <f>Table14[[#This Row],[Base_Stock_GE15]]/Table14[[#This Row],[All_Voters_GE15]]</f>
        <v>0.25200193593804998</v>
      </c>
      <c r="BP161" s="14">
        <v>13947</v>
      </c>
      <c r="BQ161" s="10">
        <v>41318</v>
      </c>
      <c r="BR161" s="44">
        <v>16279</v>
      </c>
      <c r="BS161" s="10">
        <v>5190</v>
      </c>
      <c r="BT161" s="10">
        <v>50785</v>
      </c>
      <c r="BU161" s="10">
        <v>45784</v>
      </c>
      <c r="BV161" s="10">
        <v>34609</v>
      </c>
      <c r="BW161" s="10">
        <f t="shared" si="45"/>
        <v>55975</v>
      </c>
      <c r="BX161" s="10">
        <f t="shared" si="46"/>
        <v>80393</v>
      </c>
      <c r="BY161" s="14">
        <v>136692</v>
      </c>
      <c r="BZ161" s="14">
        <v>0</v>
      </c>
      <c r="CA161" s="14">
        <v>2179</v>
      </c>
      <c r="CB161" s="14">
        <v>134513</v>
      </c>
      <c r="CC161" s="14">
        <v>74545</v>
      </c>
      <c r="CD161" s="14">
        <v>52018</v>
      </c>
      <c r="CE161" s="14">
        <v>8280</v>
      </c>
      <c r="CF161" s="14">
        <v>38</v>
      </c>
      <c r="CG161" s="14">
        <v>523</v>
      </c>
      <c r="CH161" s="14">
        <v>486</v>
      </c>
      <c r="CI161" s="14">
        <v>802</v>
      </c>
      <c r="CJ161" s="14">
        <f t="shared" si="47"/>
        <v>1849</v>
      </c>
      <c r="CK161" s="14">
        <v>68398</v>
      </c>
      <c r="CL161" s="14">
        <v>68294</v>
      </c>
      <c r="CM161" s="14">
        <v>51509</v>
      </c>
      <c r="CN161" s="11">
        <f t="shared" si="48"/>
        <v>0.3768252714131039</v>
      </c>
      <c r="CO161" s="14">
        <v>85183</v>
      </c>
      <c r="CP161" s="11">
        <f t="shared" si="49"/>
        <v>0.62317472858689604</v>
      </c>
      <c r="CQ161" s="29">
        <v>7084</v>
      </c>
      <c r="CR161" s="29">
        <v>54330</v>
      </c>
      <c r="CS161" s="29">
        <v>35997</v>
      </c>
      <c r="CT161" s="29">
        <v>14100</v>
      </c>
      <c r="CU161" s="47">
        <v>10374</v>
      </c>
      <c r="CV161" s="47">
        <v>3056</v>
      </c>
      <c r="CW161" s="47">
        <v>4241</v>
      </c>
      <c r="CX161" s="47">
        <v>2126</v>
      </c>
      <c r="CY161" s="47">
        <v>951</v>
      </c>
      <c r="CZ161" s="47">
        <v>64</v>
      </c>
      <c r="DA161" s="47">
        <v>64</v>
      </c>
      <c r="DB161" s="47">
        <v>64</v>
      </c>
      <c r="DC161" s="47">
        <v>62</v>
      </c>
    </row>
    <row r="162" spans="1:107" x14ac:dyDescent="0.35">
      <c r="A162" s="1" t="s">
        <v>965</v>
      </c>
      <c r="B162" s="5" t="s">
        <v>0</v>
      </c>
      <c r="C162" s="3" t="s">
        <v>1094</v>
      </c>
      <c r="D162" s="4" t="s">
        <v>1095</v>
      </c>
      <c r="E162" s="5">
        <v>2</v>
      </c>
      <c r="F162" s="5">
        <v>40</v>
      </c>
      <c r="G162" s="2">
        <v>0.71630180324596371</v>
      </c>
      <c r="H162" s="2" t="s">
        <v>1276</v>
      </c>
      <c r="I162" s="17" t="s">
        <v>121</v>
      </c>
      <c r="J16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SERI SALAHUDDIN AYUB </v>
      </c>
      <c r="K162" s="8">
        <v>31726</v>
      </c>
      <c r="L162" s="8" t="s">
        <v>8</v>
      </c>
      <c r="M162" s="7" t="s">
        <v>1097</v>
      </c>
      <c r="N162" s="8">
        <v>64900</v>
      </c>
      <c r="O162" s="8" t="s">
        <v>10</v>
      </c>
      <c r="P162" s="7" t="s">
        <v>1096</v>
      </c>
      <c r="Q162" s="8">
        <v>20677</v>
      </c>
      <c r="R162" s="8" t="s">
        <v>370</v>
      </c>
      <c r="S162" s="7" t="s">
        <v>1098</v>
      </c>
      <c r="T162" s="10">
        <v>33174</v>
      </c>
      <c r="U162" s="10">
        <v>0</v>
      </c>
      <c r="V162" s="10">
        <v>1</v>
      </c>
      <c r="W162" s="10">
        <v>0</v>
      </c>
      <c r="X162" s="10">
        <v>53714</v>
      </c>
      <c r="Y162" s="12" t="s">
        <v>72</v>
      </c>
      <c r="Z162" s="12" t="s">
        <v>1277</v>
      </c>
      <c r="AA162" s="13" t="s">
        <v>1099</v>
      </c>
      <c r="AB162" s="14">
        <v>28924</v>
      </c>
      <c r="AC162" s="15" t="s">
        <v>448</v>
      </c>
      <c r="AD162" s="16">
        <v>47911</v>
      </c>
      <c r="AE162" s="14">
        <v>26523</v>
      </c>
      <c r="AF162" s="14">
        <v>4332</v>
      </c>
      <c r="AG162" s="14">
        <v>55447</v>
      </c>
      <c r="AH162" s="14" t="s">
        <v>17</v>
      </c>
      <c r="AI162" s="15" t="s">
        <v>10</v>
      </c>
      <c r="AJ162" s="14">
        <v>0</v>
      </c>
      <c r="AK162" s="14">
        <v>1</v>
      </c>
      <c r="AL162" s="14">
        <v>0</v>
      </c>
      <c r="AM162" s="51">
        <v>106268</v>
      </c>
      <c r="AN162" s="51">
        <v>51982</v>
      </c>
      <c r="AO162" s="51">
        <v>41656</v>
      </c>
      <c r="AP162" s="51">
        <v>11002</v>
      </c>
      <c r="AQ162" s="51">
        <v>592</v>
      </c>
      <c r="AR162" s="51">
        <v>508</v>
      </c>
      <c r="AS162" s="51">
        <v>351</v>
      </c>
      <c r="AT162" s="51">
        <v>177</v>
      </c>
      <c r="AU162" s="51">
        <v>53296</v>
      </c>
      <c r="AV162" s="51">
        <v>52972</v>
      </c>
      <c r="AW162" s="51">
        <v>38647</v>
      </c>
      <c r="AX162" s="51">
        <v>67621</v>
      </c>
      <c r="AY162" s="14">
        <v>36103.333333333336</v>
      </c>
      <c r="AZ162" s="14">
        <v>165313</v>
      </c>
      <c r="BA162" s="14">
        <v>32</v>
      </c>
      <c r="BB162" s="14">
        <v>1120</v>
      </c>
      <c r="BC162" s="14">
        <v>164161</v>
      </c>
      <c r="BD162" s="14">
        <v>75610</v>
      </c>
      <c r="BE162" s="11">
        <f>Table14[[#This Row],[Melayu_Voters_GE15]]/Table14[[#This Row],[All_Voters_GE15]]</f>
        <v>0.45737479811025145</v>
      </c>
      <c r="BF162" s="14">
        <v>66524</v>
      </c>
      <c r="BG162" s="11">
        <f>Table14[[#This Row],[Chinese_Voters_GE15]]/Table14[[#This Row],[All_Voters_GE15]]</f>
        <v>0.4024123934596795</v>
      </c>
      <c r="BH162" s="14">
        <v>20435</v>
      </c>
      <c r="BI162" s="11">
        <f>Table14[[#This Row],[India_Voters_GE15]]/Table14[[#This Row],[All_Voters_GE15]]</f>
        <v>0.12361399284992711</v>
      </c>
      <c r="BJ162" s="14">
        <v>310</v>
      </c>
      <c r="BK162" s="14">
        <v>878</v>
      </c>
      <c r="BL162" s="14">
        <v>972</v>
      </c>
      <c r="BM162" s="14">
        <v>584</v>
      </c>
      <c r="BN162" s="14">
        <f>Table14[[#This Row],[Lain_Voters_GE15]]+Table14[[#This Row],[Swak_Voters_GE15]]+Table14[[#This Row],[Sabah_Voters_GE15]]+Table14[[#This Row],[OA_Voters_GE15]]</f>
        <v>2744</v>
      </c>
      <c r="BO162" s="11">
        <f>Table14[[#This Row],[Base_Stock_GE15]]/Table14[[#This Row],[All_Voters_GE15]]</f>
        <v>0.32492302480748642</v>
      </c>
      <c r="BP162" s="14">
        <v>35709</v>
      </c>
      <c r="BQ162" s="10">
        <v>63209</v>
      </c>
      <c r="BR162" s="44">
        <v>29936</v>
      </c>
      <c r="BS162" s="10">
        <v>10310</v>
      </c>
      <c r="BT162" s="10">
        <v>72498</v>
      </c>
      <c r="BU162" s="10">
        <v>55471</v>
      </c>
      <c r="BV162" s="10">
        <v>27034</v>
      </c>
      <c r="BW162" s="10">
        <f t="shared" si="45"/>
        <v>82808</v>
      </c>
      <c r="BX162" s="10">
        <f t="shared" si="46"/>
        <v>82505</v>
      </c>
      <c r="BY162" s="14">
        <v>173621</v>
      </c>
      <c r="BZ162" s="14">
        <v>0</v>
      </c>
      <c r="CA162" s="14">
        <v>801</v>
      </c>
      <c r="CB162" s="14">
        <v>172820</v>
      </c>
      <c r="CC162" s="14">
        <v>78560</v>
      </c>
      <c r="CD162" s="14">
        <v>70026</v>
      </c>
      <c r="CE162" s="14">
        <v>21959</v>
      </c>
      <c r="CF162" s="14">
        <v>320</v>
      </c>
      <c r="CG162" s="14">
        <v>820</v>
      </c>
      <c r="CH162" s="14">
        <v>959</v>
      </c>
      <c r="CI162" s="14">
        <v>977</v>
      </c>
      <c r="CJ162" s="14">
        <f t="shared" si="47"/>
        <v>3076</v>
      </c>
      <c r="CK162" s="14">
        <v>87232</v>
      </c>
      <c r="CL162" s="14">
        <v>86389</v>
      </c>
      <c r="CM162" s="14">
        <v>81658</v>
      </c>
      <c r="CN162" s="11">
        <f t="shared" si="48"/>
        <v>0.47032329038537962</v>
      </c>
      <c r="CO162" s="14">
        <v>91963</v>
      </c>
      <c r="CP162" s="11">
        <f t="shared" si="49"/>
        <v>0.52967670961462032</v>
      </c>
      <c r="CQ162" s="29">
        <v>1774</v>
      </c>
      <c r="CR162" s="29">
        <v>19502</v>
      </c>
      <c r="CS162" s="29">
        <v>20520</v>
      </c>
      <c r="CT162" s="29">
        <v>18017</v>
      </c>
      <c r="CU162" s="47">
        <v>4974</v>
      </c>
      <c r="CV162" s="47">
        <v>2027</v>
      </c>
      <c r="CW162" s="47">
        <v>2207</v>
      </c>
      <c r="CX162" s="47">
        <v>572</v>
      </c>
      <c r="CY162" s="47">
        <v>168</v>
      </c>
      <c r="CZ162" s="47">
        <v>27</v>
      </c>
      <c r="DA162" s="47">
        <v>27</v>
      </c>
      <c r="DB162" s="47">
        <v>24</v>
      </c>
      <c r="DC162" s="47">
        <v>19</v>
      </c>
    </row>
    <row r="163" spans="1:107" x14ac:dyDescent="0.35">
      <c r="A163" s="1" t="s">
        <v>965</v>
      </c>
      <c r="B163" s="5" t="s">
        <v>0</v>
      </c>
      <c r="C163" s="3" t="s">
        <v>1100</v>
      </c>
      <c r="D163" s="4" t="s">
        <v>1101</v>
      </c>
      <c r="E163" s="5">
        <v>2</v>
      </c>
      <c r="F163" s="5">
        <v>46</v>
      </c>
      <c r="G163" s="2">
        <v>0.74415227682444918</v>
      </c>
      <c r="H163" s="2" t="s">
        <v>1276</v>
      </c>
      <c r="I163" s="17" t="s">
        <v>121</v>
      </c>
      <c r="J16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LIEW CHIN TONG </v>
      </c>
      <c r="K163" s="8">
        <v>36783</v>
      </c>
      <c r="L163" s="8" t="s">
        <v>77</v>
      </c>
      <c r="M163" s="7" t="s">
        <v>1103</v>
      </c>
      <c r="N163" s="8">
        <v>96819</v>
      </c>
      <c r="O163" s="8" t="s">
        <v>102</v>
      </c>
      <c r="P163" s="7" t="s">
        <v>1102</v>
      </c>
      <c r="Q163" s="8">
        <v>30078</v>
      </c>
      <c r="R163" s="8" t="s">
        <v>770</v>
      </c>
      <c r="S163" s="7" t="s">
        <v>1104</v>
      </c>
      <c r="T163" s="10">
        <v>60036</v>
      </c>
      <c r="U163" s="10">
        <v>0</v>
      </c>
      <c r="V163" s="10">
        <v>1</v>
      </c>
      <c r="W163" s="10">
        <v>0</v>
      </c>
      <c r="X163" s="10">
        <v>44791</v>
      </c>
      <c r="Y163" s="12" t="s">
        <v>319</v>
      </c>
      <c r="Z163" s="12" t="s">
        <v>1277</v>
      </c>
      <c r="AA163" s="13" t="s">
        <v>1105</v>
      </c>
      <c r="AB163" s="14">
        <v>44864</v>
      </c>
      <c r="AC163" s="15" t="s">
        <v>133</v>
      </c>
      <c r="AD163" s="16">
        <v>65016</v>
      </c>
      <c r="AE163" s="14">
        <v>35862</v>
      </c>
      <c r="AF163" s="14"/>
      <c r="AG163" s="14">
        <v>80726</v>
      </c>
      <c r="AH163" s="14" t="s">
        <v>82</v>
      </c>
      <c r="AI163" s="15" t="s">
        <v>321</v>
      </c>
      <c r="AJ163" s="14">
        <v>0</v>
      </c>
      <c r="AK163" s="14">
        <v>1</v>
      </c>
      <c r="AL163" s="14">
        <v>0</v>
      </c>
      <c r="AM163" s="51">
        <v>138299</v>
      </c>
      <c r="AN163" s="51">
        <v>50576</v>
      </c>
      <c r="AO163" s="51">
        <v>68864</v>
      </c>
      <c r="AP163" s="51">
        <v>17270</v>
      </c>
      <c r="AQ163" s="51">
        <v>454</v>
      </c>
      <c r="AR163" s="51">
        <v>420</v>
      </c>
      <c r="AS163" s="51">
        <v>417</v>
      </c>
      <c r="AT163" s="51">
        <v>298</v>
      </c>
      <c r="AU163" s="51">
        <v>68593</v>
      </c>
      <c r="AV163" s="51">
        <v>69706</v>
      </c>
      <c r="AW163" s="51">
        <v>54361</v>
      </c>
      <c r="AX163" s="51">
        <v>83938</v>
      </c>
      <c r="AY163" s="14">
        <v>36338</v>
      </c>
      <c r="AZ163" s="14">
        <v>222437</v>
      </c>
      <c r="BA163" s="14">
        <v>30</v>
      </c>
      <c r="BB163" s="14">
        <v>915</v>
      </c>
      <c r="BC163" s="14">
        <v>221492</v>
      </c>
      <c r="BD163" s="14">
        <v>82295</v>
      </c>
      <c r="BE163" s="11">
        <f>Table14[[#This Row],[Melayu_Voters_GE15]]/Table14[[#This Row],[All_Voters_GE15]]</f>
        <v>0.36996992406838791</v>
      </c>
      <c r="BF163" s="14">
        <v>104965</v>
      </c>
      <c r="BG163" s="11">
        <f>Table14[[#This Row],[Chinese_Voters_GE15]]/Table14[[#This Row],[All_Voters_GE15]]</f>
        <v>0.47188642177335605</v>
      </c>
      <c r="BH163" s="14">
        <v>31447</v>
      </c>
      <c r="BI163" s="11">
        <f>Table14[[#This Row],[India_Voters_GE15]]/Table14[[#This Row],[All_Voters_GE15]]</f>
        <v>0.14137486119665343</v>
      </c>
      <c r="BJ163" s="14">
        <v>462</v>
      </c>
      <c r="BK163" s="14">
        <v>836</v>
      </c>
      <c r="BL163" s="14">
        <v>1822</v>
      </c>
      <c r="BM163" s="14">
        <v>610</v>
      </c>
      <c r="BN163" s="14">
        <f>Table14[[#This Row],[Lain_Voters_GE15]]+Table14[[#This Row],[Swak_Voters_GE15]]+Table14[[#This Row],[Sabah_Voters_GE15]]+Table14[[#This Row],[OA_Voters_GE15]]</f>
        <v>3730</v>
      </c>
      <c r="BO163" s="11">
        <f>Table14[[#This Row],[Base_Stock_GE15]]/Table14[[#This Row],[All_Voters_GE15]]</f>
        <v>0.20136488084266557</v>
      </c>
      <c r="BP163" s="14">
        <v>31680</v>
      </c>
      <c r="BQ163" s="10">
        <v>86207</v>
      </c>
      <c r="BR163" s="44">
        <v>44590</v>
      </c>
      <c r="BS163" s="10">
        <v>15075</v>
      </c>
      <c r="BT163" s="10">
        <v>104784</v>
      </c>
      <c r="BU163" s="10">
        <v>72710</v>
      </c>
      <c r="BV163" s="10">
        <v>29868</v>
      </c>
      <c r="BW163" s="10">
        <f t="shared" si="45"/>
        <v>119859</v>
      </c>
      <c r="BX163" s="10">
        <f t="shared" si="46"/>
        <v>102578</v>
      </c>
      <c r="BY163" s="14">
        <v>238235</v>
      </c>
      <c r="BZ163" s="14">
        <v>0</v>
      </c>
      <c r="CA163" s="14">
        <v>1504</v>
      </c>
      <c r="CB163" s="14">
        <v>236731</v>
      </c>
      <c r="CC163" s="14">
        <v>90209</v>
      </c>
      <c r="CD163" s="14">
        <v>109733</v>
      </c>
      <c r="CE163" s="14">
        <v>33842</v>
      </c>
      <c r="CF163" s="14">
        <v>478</v>
      </c>
      <c r="CG163" s="14">
        <v>823</v>
      </c>
      <c r="CH163" s="14">
        <v>1909</v>
      </c>
      <c r="CI163" s="14">
        <v>1241</v>
      </c>
      <c r="CJ163" s="14">
        <f t="shared" si="47"/>
        <v>4451</v>
      </c>
      <c r="CK163" s="14">
        <v>119348</v>
      </c>
      <c r="CL163" s="14">
        <v>118887</v>
      </c>
      <c r="CM163" s="14">
        <v>121910</v>
      </c>
      <c r="CN163" s="11">
        <f t="shared" si="48"/>
        <v>0.51172161940940664</v>
      </c>
      <c r="CO163" s="14">
        <v>116325</v>
      </c>
      <c r="CP163" s="11">
        <f t="shared" si="49"/>
        <v>0.48827838059059331</v>
      </c>
      <c r="CQ163" s="29">
        <v>2611</v>
      </c>
      <c r="CR163" s="29">
        <v>27121</v>
      </c>
      <c r="CS163" s="29">
        <v>21498</v>
      </c>
      <c r="CT163" s="29">
        <v>12460</v>
      </c>
      <c r="CU163" s="47">
        <v>7170</v>
      </c>
      <c r="CV163" s="47">
        <v>2758</v>
      </c>
      <c r="CW163" s="47">
        <v>3381</v>
      </c>
      <c r="CX163" s="47">
        <v>745</v>
      </c>
      <c r="CY163" s="47">
        <v>286</v>
      </c>
      <c r="CZ163" s="47">
        <v>38</v>
      </c>
      <c r="DA163" s="47">
        <v>38</v>
      </c>
      <c r="DB163" s="47">
        <v>35</v>
      </c>
      <c r="DC163" s="47">
        <v>30</v>
      </c>
    </row>
    <row r="164" spans="1:107" x14ac:dyDescent="0.35">
      <c r="A164" s="1" t="s">
        <v>965</v>
      </c>
      <c r="B164" s="5" t="s">
        <v>0</v>
      </c>
      <c r="C164" s="3" t="s">
        <v>1106</v>
      </c>
      <c r="D164" s="4" t="s">
        <v>1107</v>
      </c>
      <c r="E164" s="5">
        <v>3</v>
      </c>
      <c r="F164" s="5">
        <v>44</v>
      </c>
      <c r="G164" s="2">
        <v>0.76919872790865274</v>
      </c>
      <c r="H164" s="2" t="s">
        <v>1276</v>
      </c>
      <c r="I164" s="17" t="s">
        <v>121</v>
      </c>
      <c r="J16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TEO NIE CHING </v>
      </c>
      <c r="K164" s="8">
        <v>29506</v>
      </c>
      <c r="L164" s="8" t="s">
        <v>77</v>
      </c>
      <c r="M164" s="7" t="s">
        <v>1109</v>
      </c>
      <c r="N164" s="8">
        <v>65529</v>
      </c>
      <c r="O164" s="8" t="s">
        <v>102</v>
      </c>
      <c r="P164" s="7" t="s">
        <v>1108</v>
      </c>
      <c r="Q164" s="8">
        <v>20218</v>
      </c>
      <c r="R164" s="8" t="s">
        <v>370</v>
      </c>
      <c r="S164" s="7" t="s">
        <v>1110</v>
      </c>
      <c r="T164" s="10">
        <v>36023</v>
      </c>
      <c r="U164" s="10">
        <v>0</v>
      </c>
      <c r="V164" s="10">
        <v>1</v>
      </c>
      <c r="W164" s="10">
        <v>0</v>
      </c>
      <c r="X164" s="10">
        <v>37224</v>
      </c>
      <c r="Y164" s="26" t="s">
        <v>319</v>
      </c>
      <c r="Z164" s="12" t="s">
        <v>1277</v>
      </c>
      <c r="AA164" s="13" t="s">
        <v>1111</v>
      </c>
      <c r="AB164" s="14">
        <v>32748</v>
      </c>
      <c r="AC164" s="15" t="s">
        <v>328</v>
      </c>
      <c r="AD164" s="16">
        <v>36599</v>
      </c>
      <c r="AE164" s="14">
        <v>22564</v>
      </c>
      <c r="AF164" s="14">
        <v>6667</v>
      </c>
      <c r="AG164" s="14">
        <v>55312</v>
      </c>
      <c r="AH164" s="14" t="s">
        <v>82</v>
      </c>
      <c r="AI164" s="15" t="s">
        <v>321</v>
      </c>
      <c r="AJ164" s="14">
        <v>0</v>
      </c>
      <c r="AK164" s="14">
        <v>1</v>
      </c>
      <c r="AL164" s="14">
        <v>0</v>
      </c>
      <c r="AM164" s="51">
        <v>99147</v>
      </c>
      <c r="AN164" s="51">
        <v>34588</v>
      </c>
      <c r="AO164" s="51">
        <v>53583</v>
      </c>
      <c r="AP164" s="51">
        <v>10189</v>
      </c>
      <c r="AQ164" s="51">
        <v>314</v>
      </c>
      <c r="AR164" s="51">
        <v>293</v>
      </c>
      <c r="AS164" s="51">
        <v>168</v>
      </c>
      <c r="AT164" s="51">
        <v>12</v>
      </c>
      <c r="AU164" s="51">
        <v>49586</v>
      </c>
      <c r="AV164" s="51">
        <v>49561</v>
      </c>
      <c r="AW164" s="51">
        <v>35733</v>
      </c>
      <c r="AX164" s="51">
        <v>63414</v>
      </c>
      <c r="AY164" s="14">
        <v>28156.333333333332</v>
      </c>
      <c r="AZ164" s="14">
        <v>151247</v>
      </c>
      <c r="BA164" s="14">
        <v>17</v>
      </c>
      <c r="BB164" s="14">
        <v>725</v>
      </c>
      <c r="BC164" s="14">
        <v>150505</v>
      </c>
      <c r="BD164" s="14">
        <v>57523</v>
      </c>
      <c r="BE164" s="11">
        <f>Table14[[#This Row],[Melayu_Voters_GE15]]/Table14[[#This Row],[All_Voters_GE15]]</f>
        <v>0.38032489900626126</v>
      </c>
      <c r="BF164" s="14">
        <v>74155</v>
      </c>
      <c r="BG164" s="11">
        <f>Table14[[#This Row],[Chinese_Voters_GE15]]/Table14[[#This Row],[All_Voters_GE15]]</f>
        <v>0.49029071651007955</v>
      </c>
      <c r="BH164" s="14">
        <v>17586</v>
      </c>
      <c r="BI164" s="11">
        <f>Table14[[#This Row],[India_Voters_GE15]]/Table14[[#This Row],[All_Voters_GE15]]</f>
        <v>0.11627338062903728</v>
      </c>
      <c r="BJ164" s="14">
        <v>39</v>
      </c>
      <c r="BK164" s="14">
        <v>783</v>
      </c>
      <c r="BL164" s="14">
        <v>764</v>
      </c>
      <c r="BM164" s="14">
        <v>397</v>
      </c>
      <c r="BN164" s="14">
        <f>Table14[[#This Row],[Lain_Voters_GE15]]+Table14[[#This Row],[Swak_Voters_GE15]]+Table14[[#This Row],[Sabah_Voters_GE15]]+Table14[[#This Row],[OA_Voters_GE15]]</f>
        <v>1983</v>
      </c>
      <c r="BO164" s="11">
        <f>Table14[[#This Row],[Base_Stock_GE15]]/Table14[[#This Row],[All_Voters_GE15]]</f>
        <v>0.24611397250854564</v>
      </c>
      <c r="BP164" s="14">
        <v>28754</v>
      </c>
      <c r="BQ164" s="10">
        <v>55404</v>
      </c>
      <c r="BR164" s="44">
        <v>30908</v>
      </c>
      <c r="BS164" s="10">
        <v>10504</v>
      </c>
      <c r="BT164" s="10">
        <v>68065</v>
      </c>
      <c r="BU164" s="10">
        <v>49254</v>
      </c>
      <c r="BV164" s="10">
        <v>23424</v>
      </c>
      <c r="BW164" s="10">
        <f t="shared" si="45"/>
        <v>78569</v>
      </c>
      <c r="BX164" s="10">
        <f t="shared" si="46"/>
        <v>72678</v>
      </c>
      <c r="BY164" s="14">
        <v>160303</v>
      </c>
      <c r="BZ164" s="14">
        <v>0</v>
      </c>
      <c r="CA164" s="14">
        <v>700</v>
      </c>
      <c r="CB164" s="14">
        <v>159603</v>
      </c>
      <c r="CC164" s="14">
        <v>62945</v>
      </c>
      <c r="CD164" s="14">
        <v>76258</v>
      </c>
      <c r="CE164" s="14">
        <v>18717</v>
      </c>
      <c r="CF164" s="14">
        <v>46</v>
      </c>
      <c r="CG164" s="14">
        <v>813</v>
      </c>
      <c r="CH164" s="14">
        <v>786</v>
      </c>
      <c r="CI164" s="14">
        <v>738</v>
      </c>
      <c r="CJ164" s="14">
        <f t="shared" si="47"/>
        <v>2383</v>
      </c>
      <c r="CK164" s="14">
        <v>80476</v>
      </c>
      <c r="CL164" s="14">
        <v>79827</v>
      </c>
      <c r="CM164" s="14">
        <v>80143</v>
      </c>
      <c r="CN164" s="11">
        <f t="shared" si="48"/>
        <v>0.49994697541530725</v>
      </c>
      <c r="CO164" s="14">
        <v>80160</v>
      </c>
      <c r="CP164" s="11">
        <f t="shared" si="49"/>
        <v>0.5000530245846927</v>
      </c>
      <c r="CQ164" s="29">
        <v>9058</v>
      </c>
      <c r="CR164" s="29">
        <v>65383</v>
      </c>
      <c r="CS164" s="29">
        <v>39641</v>
      </c>
      <c r="CT164" s="29">
        <v>14667</v>
      </c>
      <c r="CU164" s="47">
        <v>8007</v>
      </c>
      <c r="CV164" s="47">
        <v>2887</v>
      </c>
      <c r="CW164" s="47">
        <v>3326</v>
      </c>
      <c r="CX164" s="47">
        <v>1277</v>
      </c>
      <c r="CY164" s="47">
        <v>517</v>
      </c>
      <c r="CZ164" s="47">
        <v>56</v>
      </c>
      <c r="DA164" s="47">
        <v>56</v>
      </c>
      <c r="DB164" s="47">
        <v>56</v>
      </c>
      <c r="DC164" s="47">
        <v>49</v>
      </c>
    </row>
    <row r="165" spans="1:107" x14ac:dyDescent="0.35">
      <c r="A165" s="1" t="s">
        <v>965</v>
      </c>
      <c r="B165" s="5" t="s">
        <v>0</v>
      </c>
      <c r="C165" s="3" t="s">
        <v>1112</v>
      </c>
      <c r="D165" s="4" t="s">
        <v>1113</v>
      </c>
      <c r="E165" s="5">
        <v>2</v>
      </c>
      <c r="F165" s="5">
        <v>36</v>
      </c>
      <c r="G165" s="2">
        <v>0.76646013933946711</v>
      </c>
      <c r="H165" s="2" t="s">
        <v>1276</v>
      </c>
      <c r="I165" s="21" t="s">
        <v>403</v>
      </c>
      <c r="J16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SERI AHMAD BIN MASLAN </v>
      </c>
      <c r="K165" s="8">
        <v>23201</v>
      </c>
      <c r="L165" s="8" t="s">
        <v>8</v>
      </c>
      <c r="M165" s="7" t="s">
        <v>1114</v>
      </c>
      <c r="N165" s="8">
        <v>15901</v>
      </c>
      <c r="O165" s="8" t="s">
        <v>23</v>
      </c>
      <c r="P165" s="7" t="s">
        <v>1115</v>
      </c>
      <c r="Q165" s="8">
        <v>17443</v>
      </c>
      <c r="R165" s="8" t="s">
        <v>25</v>
      </c>
      <c r="S165" s="7" t="s">
        <v>1116</v>
      </c>
      <c r="T165" s="10">
        <v>5758</v>
      </c>
      <c r="U165" s="10">
        <v>1</v>
      </c>
      <c r="V165" s="10">
        <v>0</v>
      </c>
      <c r="W165" s="10">
        <v>0</v>
      </c>
      <c r="X165" s="10">
        <v>31217</v>
      </c>
      <c r="Y165" s="12" t="s">
        <v>14</v>
      </c>
      <c r="Z165" s="12" t="s">
        <v>1277</v>
      </c>
      <c r="AA165" s="13" t="s">
        <v>1117</v>
      </c>
      <c r="AB165" s="14">
        <v>833</v>
      </c>
      <c r="AC165" s="15" t="s">
        <v>1118</v>
      </c>
      <c r="AD165" s="16">
        <v>35015</v>
      </c>
      <c r="AE165" s="14">
        <v>21132</v>
      </c>
      <c r="AF165" s="14">
        <v>4295</v>
      </c>
      <c r="AG165" s="14">
        <v>20299</v>
      </c>
      <c r="AH165" s="14" t="s">
        <v>17</v>
      </c>
      <c r="AI165" s="15" t="s">
        <v>18</v>
      </c>
      <c r="AJ165" s="14">
        <v>1</v>
      </c>
      <c r="AK165" s="14">
        <v>0</v>
      </c>
      <c r="AL165" s="14">
        <v>0</v>
      </c>
      <c r="AM165" s="51">
        <v>55570</v>
      </c>
      <c r="AN165" s="51">
        <v>37578</v>
      </c>
      <c r="AO165" s="51">
        <v>16728</v>
      </c>
      <c r="AP165" s="51">
        <v>586</v>
      </c>
      <c r="AQ165" s="51">
        <v>239</v>
      </c>
      <c r="AR165" s="51">
        <v>375</v>
      </c>
      <c r="AS165" s="51">
        <v>24</v>
      </c>
      <c r="AT165" s="51">
        <v>40</v>
      </c>
      <c r="AU165" s="51">
        <v>27356</v>
      </c>
      <c r="AV165" s="51">
        <v>28214</v>
      </c>
      <c r="AW165" s="51">
        <v>20122</v>
      </c>
      <c r="AX165" s="51">
        <v>35448</v>
      </c>
      <c r="AY165" s="14">
        <v>24019</v>
      </c>
      <c r="AZ165" s="14">
        <v>75212</v>
      </c>
      <c r="BA165" s="14">
        <v>6</v>
      </c>
      <c r="BB165" s="14">
        <v>80</v>
      </c>
      <c r="BC165" s="14">
        <v>75126</v>
      </c>
      <c r="BD165" s="14">
        <v>52635</v>
      </c>
      <c r="BE165" s="11">
        <f>Table14[[#This Row],[Melayu_Voters_GE15]]/Table14[[#This Row],[All_Voters_GE15]]</f>
        <v>0.69982183694091371</v>
      </c>
      <c r="BF165" s="14">
        <v>20991</v>
      </c>
      <c r="BG165" s="11">
        <f>Table14[[#This Row],[Chinese_Voters_GE15]]/Table14[[#This Row],[All_Voters_GE15]]</f>
        <v>0.27909110248364621</v>
      </c>
      <c r="BH165" s="14">
        <v>824</v>
      </c>
      <c r="BI165" s="11">
        <f>Table14[[#This Row],[India_Voters_GE15]]/Table14[[#This Row],[All_Voters_GE15]]</f>
        <v>1.0955698558740627E-2</v>
      </c>
      <c r="BJ165" s="14">
        <v>456</v>
      </c>
      <c r="BK165" s="14">
        <v>76</v>
      </c>
      <c r="BL165" s="14">
        <v>70</v>
      </c>
      <c r="BM165" s="14">
        <v>160</v>
      </c>
      <c r="BN165" s="14">
        <f>Table14[[#This Row],[Lain_Voters_GE15]]+Table14[[#This Row],[Swak_Voters_GE15]]+Table14[[#This Row],[Sabah_Voters_GE15]]+Table14[[#This Row],[OA_Voters_GE15]]</f>
        <v>762</v>
      </c>
      <c r="BO165" s="11">
        <f>Table14[[#This Row],[Base_Stock_GE15]]/Table14[[#This Row],[All_Voters_GE15]]</f>
        <v>0.41505344891772589</v>
      </c>
      <c r="BP165" s="14">
        <v>25289</v>
      </c>
      <c r="BQ165" s="10">
        <v>23123</v>
      </c>
      <c r="BR165" s="44">
        <v>11944</v>
      </c>
      <c r="BS165" s="10">
        <v>3834</v>
      </c>
      <c r="BT165" s="10">
        <v>33270</v>
      </c>
      <c r="BU165" s="10">
        <v>23221</v>
      </c>
      <c r="BV165" s="10">
        <v>14887</v>
      </c>
      <c r="BW165" s="10">
        <f t="shared" si="45"/>
        <v>37104</v>
      </c>
      <c r="BX165" s="10">
        <f t="shared" si="46"/>
        <v>38108</v>
      </c>
      <c r="BY165" s="14">
        <v>76393</v>
      </c>
      <c r="BZ165" s="14">
        <v>0</v>
      </c>
      <c r="CA165" s="14">
        <v>66</v>
      </c>
      <c r="CB165" s="14">
        <v>76327</v>
      </c>
      <c r="CC165" s="14">
        <v>54233</v>
      </c>
      <c r="CD165" s="14">
        <v>20531</v>
      </c>
      <c r="CE165" s="14">
        <v>803</v>
      </c>
      <c r="CF165" s="14">
        <v>469</v>
      </c>
      <c r="CG165" s="14">
        <v>70</v>
      </c>
      <c r="CH165" s="14">
        <v>66</v>
      </c>
      <c r="CI165" s="14">
        <v>221</v>
      </c>
      <c r="CJ165" s="14">
        <f t="shared" si="47"/>
        <v>826</v>
      </c>
      <c r="CK165" s="14">
        <v>37981</v>
      </c>
      <c r="CL165" s="14">
        <v>38412</v>
      </c>
      <c r="CM165" s="14">
        <v>35089</v>
      </c>
      <c r="CN165" s="11">
        <f t="shared" si="48"/>
        <v>0.4593221892058173</v>
      </c>
      <c r="CO165" s="14">
        <v>41304</v>
      </c>
      <c r="CP165" s="11">
        <f t="shared" si="49"/>
        <v>0.54067781079418276</v>
      </c>
      <c r="CQ165" s="29">
        <v>3076</v>
      </c>
      <c r="CR165" s="29">
        <v>27238</v>
      </c>
      <c r="CS165" s="29">
        <v>21731</v>
      </c>
      <c r="CT165" s="29">
        <v>13808</v>
      </c>
      <c r="CU165" s="47">
        <v>3148</v>
      </c>
      <c r="CV165" s="47">
        <v>1148</v>
      </c>
      <c r="CW165" s="47">
        <v>1262</v>
      </c>
      <c r="CX165" s="47">
        <v>530</v>
      </c>
      <c r="CY165" s="47">
        <v>208</v>
      </c>
      <c r="CZ165" s="47">
        <v>20</v>
      </c>
      <c r="DA165" s="47">
        <v>20</v>
      </c>
      <c r="DB165" s="47">
        <v>20</v>
      </c>
      <c r="DC165" s="47">
        <v>18</v>
      </c>
    </row>
    <row r="166" spans="1:107" x14ac:dyDescent="0.35">
      <c r="A166" s="1" t="s">
        <v>965</v>
      </c>
      <c r="B166" s="5" t="s">
        <v>0</v>
      </c>
      <c r="C166" s="3" t="s">
        <v>1119</v>
      </c>
      <c r="D166" s="4" t="s">
        <v>1120</v>
      </c>
      <c r="E166" s="5">
        <v>2</v>
      </c>
      <c r="F166" s="5">
        <v>27</v>
      </c>
      <c r="G166" s="2">
        <v>0.77966581304206339</v>
      </c>
      <c r="H166" s="2" t="s">
        <v>1276</v>
      </c>
      <c r="I166" s="21" t="s">
        <v>403</v>
      </c>
      <c r="J166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WEE JECK SENG </v>
      </c>
      <c r="K166" s="8">
        <v>23593</v>
      </c>
      <c r="L166" s="8" t="s">
        <v>77</v>
      </c>
      <c r="M166" s="7" t="s">
        <v>1121</v>
      </c>
      <c r="N166" s="8">
        <v>17233</v>
      </c>
      <c r="O166" s="8">
        <v>0</v>
      </c>
      <c r="P166" s="7">
        <v>0</v>
      </c>
      <c r="Q166" s="8">
        <v>13762</v>
      </c>
      <c r="R166" s="8" t="s">
        <v>25</v>
      </c>
      <c r="S166" s="7" t="s">
        <v>1122</v>
      </c>
      <c r="T166" s="10">
        <v>6360</v>
      </c>
      <c r="U166" s="10">
        <v>1</v>
      </c>
      <c r="V166" s="10">
        <v>0</v>
      </c>
      <c r="W166" s="10">
        <v>0</v>
      </c>
      <c r="X166" s="10">
        <v>32495</v>
      </c>
      <c r="Y166" s="26" t="s">
        <v>1018</v>
      </c>
      <c r="Z166" s="12" t="s">
        <v>1277</v>
      </c>
      <c r="AA166" s="13" t="s">
        <v>1123</v>
      </c>
      <c r="AB166" s="14">
        <v>524</v>
      </c>
      <c r="AC166" s="15" t="s">
        <v>964</v>
      </c>
      <c r="AD166" s="16">
        <v>26288</v>
      </c>
      <c r="AE166" s="14">
        <v>20731</v>
      </c>
      <c r="AF166" s="14">
        <v>2962</v>
      </c>
      <c r="AG166" s="14">
        <v>21255</v>
      </c>
      <c r="AH166" s="14" t="s">
        <v>82</v>
      </c>
      <c r="AI166" s="15" t="s">
        <v>18</v>
      </c>
      <c r="AJ166" s="14">
        <v>0</v>
      </c>
      <c r="AK166" s="14">
        <v>0</v>
      </c>
      <c r="AL166" s="14">
        <v>0</v>
      </c>
      <c r="AM166" s="51">
        <v>53528</v>
      </c>
      <c r="AN166" s="51">
        <v>30196</v>
      </c>
      <c r="AO166" s="51">
        <v>22289</v>
      </c>
      <c r="AP166" s="51">
        <v>544</v>
      </c>
      <c r="AQ166" s="51">
        <v>196</v>
      </c>
      <c r="AR166" s="51">
        <v>260</v>
      </c>
      <c r="AS166" s="51">
        <v>37</v>
      </c>
      <c r="AT166" s="51">
        <v>6</v>
      </c>
      <c r="AU166" s="51">
        <v>27023</v>
      </c>
      <c r="AV166" s="51">
        <v>26505</v>
      </c>
      <c r="AW166" s="51">
        <v>19709</v>
      </c>
      <c r="AX166" s="51">
        <v>33819</v>
      </c>
      <c r="AY166" s="14">
        <v>23023.666666666668</v>
      </c>
      <c r="AZ166" s="14">
        <v>70679</v>
      </c>
      <c r="BA166" s="14">
        <v>6</v>
      </c>
      <c r="BB166" s="14">
        <v>304</v>
      </c>
      <c r="BC166" s="14">
        <v>70369</v>
      </c>
      <c r="BD166" s="14">
        <v>41278</v>
      </c>
      <c r="BE166" s="11">
        <f>Table14[[#This Row],[Melayu_Voters_GE15]]/Table14[[#This Row],[All_Voters_GE15]]</f>
        <v>0.58402071336606343</v>
      </c>
      <c r="BF166" s="14">
        <v>28254</v>
      </c>
      <c r="BG166" s="11">
        <f>Table14[[#This Row],[Chinese_Voters_GE15]]/Table14[[#This Row],[All_Voters_GE15]]</f>
        <v>0.39975098685606758</v>
      </c>
      <c r="BH166" s="14">
        <v>745</v>
      </c>
      <c r="BI166" s="11">
        <f>Table14[[#This Row],[India_Voters_GE15]]/Table14[[#This Row],[All_Voters_GE15]]</f>
        <v>1.0540613194866934E-2</v>
      </c>
      <c r="BJ166" s="14">
        <v>25</v>
      </c>
      <c r="BK166" s="14">
        <v>129</v>
      </c>
      <c r="BL166" s="14">
        <v>98</v>
      </c>
      <c r="BM166" s="14">
        <v>150</v>
      </c>
      <c r="BN166" s="14">
        <f>Table14[[#This Row],[Lain_Voters_GE15]]+Table14[[#This Row],[Swak_Voters_GE15]]+Table14[[#This Row],[Sabah_Voters_GE15]]+Table14[[#This Row],[OA_Voters_GE15]]</f>
        <v>402</v>
      </c>
      <c r="BO166" s="11">
        <f>Table14[[#This Row],[Base_Stock_GE15]]/Table14[[#This Row],[All_Voters_GE15]]</f>
        <v>0.45975466545933019</v>
      </c>
      <c r="BP166" s="14">
        <v>25575</v>
      </c>
      <c r="BQ166" s="10">
        <v>20019</v>
      </c>
      <c r="BR166" s="44">
        <v>11594</v>
      </c>
      <c r="BS166" s="10">
        <v>3710</v>
      </c>
      <c r="BT166" s="10">
        <v>30582</v>
      </c>
      <c r="BU166" s="10">
        <v>22683</v>
      </c>
      <c r="BV166" s="10">
        <v>13704</v>
      </c>
      <c r="BW166" s="10">
        <f t="shared" si="45"/>
        <v>34292</v>
      </c>
      <c r="BX166" s="10">
        <f t="shared" si="46"/>
        <v>36387</v>
      </c>
      <c r="BY166" s="14">
        <v>72384</v>
      </c>
      <c r="BZ166" s="14">
        <v>0</v>
      </c>
      <c r="CA166" s="14">
        <v>298</v>
      </c>
      <c r="CB166" s="14">
        <v>72086</v>
      </c>
      <c r="CC166" s="14">
        <v>42897</v>
      </c>
      <c r="CD166" s="14">
        <v>28245</v>
      </c>
      <c r="CE166" s="14">
        <v>765</v>
      </c>
      <c r="CF166" s="14">
        <v>24</v>
      </c>
      <c r="CG166" s="14">
        <v>118</v>
      </c>
      <c r="CH166" s="14">
        <v>93</v>
      </c>
      <c r="CI166" s="14">
        <v>242</v>
      </c>
      <c r="CJ166" s="14">
        <f t="shared" si="47"/>
        <v>477</v>
      </c>
      <c r="CK166" s="14">
        <v>36582</v>
      </c>
      <c r="CL166" s="14">
        <v>35802</v>
      </c>
      <c r="CM166" s="14">
        <v>33054</v>
      </c>
      <c r="CN166" s="11">
        <f t="shared" si="48"/>
        <v>0.4566478779840849</v>
      </c>
      <c r="CO166" s="14">
        <v>39330</v>
      </c>
      <c r="CP166" s="11">
        <f t="shared" si="49"/>
        <v>0.5433521220159151</v>
      </c>
      <c r="CQ166" s="29">
        <v>1907</v>
      </c>
      <c r="CR166" s="29">
        <v>20001</v>
      </c>
      <c r="CS166" s="29">
        <v>14984</v>
      </c>
      <c r="CT166" s="29">
        <v>10494</v>
      </c>
      <c r="CU166" s="47">
        <v>7541</v>
      </c>
      <c r="CV166" s="47">
        <v>2945</v>
      </c>
      <c r="CW166" s="47">
        <v>3344</v>
      </c>
      <c r="CX166" s="47">
        <v>906</v>
      </c>
      <c r="CY166" s="47">
        <v>346</v>
      </c>
      <c r="CZ166" s="47">
        <v>46</v>
      </c>
      <c r="DA166" s="47">
        <v>46</v>
      </c>
      <c r="DB166" s="47">
        <v>45</v>
      </c>
      <c r="DC166" s="47">
        <v>43</v>
      </c>
    </row>
    <row r="167" spans="1:107" x14ac:dyDescent="0.35">
      <c r="A167" s="1" t="s">
        <v>793</v>
      </c>
      <c r="B167" s="5" t="s">
        <v>0</v>
      </c>
      <c r="C167" s="3" t="s">
        <v>1124</v>
      </c>
      <c r="D167" s="4" t="s">
        <v>1125</v>
      </c>
      <c r="E167" s="5"/>
      <c r="F167" s="5">
        <v>17</v>
      </c>
      <c r="G167" s="2">
        <v>0.646569553097743</v>
      </c>
      <c r="H167" s="2" t="s">
        <v>1276</v>
      </c>
      <c r="I167" s="5" t="s">
        <v>4</v>
      </c>
      <c r="J16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DATO' DR. SUHAILI ABDUL RAHMAN </v>
      </c>
      <c r="K167" s="8">
        <v>7416</v>
      </c>
      <c r="L167" s="8" t="s">
        <v>8</v>
      </c>
      <c r="M167" s="7" t="s">
        <v>1127</v>
      </c>
      <c r="N167" s="8">
        <v>5307</v>
      </c>
      <c r="O167" s="8" t="s">
        <v>10</v>
      </c>
      <c r="P167" s="7" t="s">
        <v>1128</v>
      </c>
      <c r="Q167" s="8">
        <v>8124</v>
      </c>
      <c r="R167" s="8" t="s">
        <v>18</v>
      </c>
      <c r="S167" s="7" t="s">
        <v>1126</v>
      </c>
      <c r="T167" s="15">
        <v>708</v>
      </c>
      <c r="U167" s="10">
        <v>0</v>
      </c>
      <c r="V167" s="10">
        <v>0</v>
      </c>
      <c r="W167" s="10">
        <v>1</v>
      </c>
      <c r="X167" s="10">
        <v>15608</v>
      </c>
      <c r="Y167" s="12" t="s">
        <v>14</v>
      </c>
      <c r="Z167" s="12" t="s">
        <v>1277</v>
      </c>
      <c r="AA167" s="13" t="s">
        <v>1129</v>
      </c>
      <c r="AB167" s="14">
        <v>1450</v>
      </c>
      <c r="AC167" s="15" t="s">
        <v>1130</v>
      </c>
      <c r="AD167" s="16">
        <v>20262</v>
      </c>
      <c r="AE167" s="14">
        <v>10164</v>
      </c>
      <c r="AF167" s="14">
        <v>1555</v>
      </c>
      <c r="AG167" s="14">
        <v>8714</v>
      </c>
      <c r="AH167" s="14" t="s">
        <v>17</v>
      </c>
      <c r="AI167" s="15" t="s">
        <v>1131</v>
      </c>
      <c r="AJ167" s="14">
        <v>1</v>
      </c>
      <c r="AK167" s="14">
        <v>0</v>
      </c>
      <c r="AL167" s="14">
        <v>0</v>
      </c>
      <c r="AM167" s="51">
        <v>28356</v>
      </c>
      <c r="AN167" s="51">
        <v>11872</v>
      </c>
      <c r="AO167" s="51">
        <v>5861</v>
      </c>
      <c r="AP167" s="51">
        <v>426</v>
      </c>
      <c r="AQ167" s="51">
        <v>780</v>
      </c>
      <c r="AR167" s="51">
        <v>8976</v>
      </c>
      <c r="AS167" s="51">
        <v>439</v>
      </c>
      <c r="AT167" s="51">
        <v>2</v>
      </c>
      <c r="AU167" s="51">
        <v>15107</v>
      </c>
      <c r="AV167" s="51">
        <v>13249</v>
      </c>
      <c r="AW167" s="51">
        <v>11841</v>
      </c>
      <c r="AX167" s="51">
        <v>16515</v>
      </c>
      <c r="AY167" s="14">
        <v>11109.666666666666</v>
      </c>
      <c r="AZ167" s="14">
        <v>44484</v>
      </c>
      <c r="BA167" s="14">
        <v>6</v>
      </c>
      <c r="BB167" s="14">
        <v>1444</v>
      </c>
      <c r="BC167" s="14">
        <v>43034</v>
      </c>
      <c r="BD167" s="14">
        <v>15912</v>
      </c>
      <c r="BE167" s="11">
        <f>Table14[[#This Row],[Melayu_Voters_GE15]]/Table14[[#This Row],[All_Voters_GE15]]</f>
        <v>0.35770164553547346</v>
      </c>
      <c r="BF167" s="14">
        <v>7581</v>
      </c>
      <c r="BG167" s="11">
        <f>Table14[[#This Row],[Chinese_Voters_GE15]]/Table14[[#This Row],[All_Voters_GE15]]</f>
        <v>0.17042082546533585</v>
      </c>
      <c r="BH167" s="14">
        <v>631</v>
      </c>
      <c r="BI167" s="11">
        <f>Table14[[#This Row],[India_Voters_GE15]]/Table14[[#This Row],[All_Voters_GE15]]</f>
        <v>1.4184875460839852E-2</v>
      </c>
      <c r="BJ167" s="14">
        <v>0</v>
      </c>
      <c r="BK167" s="14">
        <v>18400</v>
      </c>
      <c r="BL167" s="14">
        <v>921</v>
      </c>
      <c r="BM167" s="14">
        <v>1039</v>
      </c>
      <c r="BN167" s="14">
        <f>Table14[[#This Row],[Lain_Voters_GE15]]+Table14[[#This Row],[Swak_Voters_GE15]]+Table14[[#This Row],[Sabah_Voters_GE15]]+Table14[[#This Row],[OA_Voters_GE15]]</f>
        <v>20360</v>
      </c>
      <c r="BO167" s="11">
        <f>Table14[[#This Row],[Base_Stock_GE15]]/Table14[[#This Row],[All_Voters_GE15]]</f>
        <v>0.35086772772232711</v>
      </c>
      <c r="BP167" s="14">
        <v>10789</v>
      </c>
      <c r="BQ167" s="10">
        <v>18233</v>
      </c>
      <c r="BR167" s="44">
        <v>8523</v>
      </c>
      <c r="BS167" s="10">
        <v>2915</v>
      </c>
      <c r="BT167" s="10">
        <v>22375</v>
      </c>
      <c r="BU167" s="10">
        <v>12504</v>
      </c>
      <c r="BV167" s="10">
        <v>6690</v>
      </c>
      <c r="BW167" s="10">
        <f t="shared" si="45"/>
        <v>25290</v>
      </c>
      <c r="BX167" s="10">
        <f t="shared" si="46"/>
        <v>19194</v>
      </c>
      <c r="BY167" s="14">
        <v>47853</v>
      </c>
      <c r="BZ167" s="14">
        <v>0</v>
      </c>
      <c r="CA167" s="14">
        <v>2122</v>
      </c>
      <c r="CB167" s="14">
        <v>45731</v>
      </c>
      <c r="CC167" s="14">
        <v>17252</v>
      </c>
      <c r="CD167" s="14">
        <v>7615</v>
      </c>
      <c r="CE167" s="14">
        <v>643</v>
      </c>
      <c r="CF167" s="14">
        <v>4</v>
      </c>
      <c r="CG167" s="14">
        <v>19959</v>
      </c>
      <c r="CH167" s="14">
        <v>1055</v>
      </c>
      <c r="CI167" s="14">
        <v>1325</v>
      </c>
      <c r="CJ167" s="14">
        <f t="shared" si="47"/>
        <v>22343</v>
      </c>
      <c r="CK167" s="14">
        <v>25103</v>
      </c>
      <c r="CL167" s="14">
        <v>22750</v>
      </c>
      <c r="CM167" s="14">
        <v>25940</v>
      </c>
      <c r="CN167" s="11">
        <f t="shared" si="48"/>
        <v>0.54207677679560318</v>
      </c>
      <c r="CO167" s="14">
        <v>21913</v>
      </c>
      <c r="CP167" s="11">
        <f t="shared" si="49"/>
        <v>0.45792322320439682</v>
      </c>
      <c r="CQ167" s="29">
        <v>1363</v>
      </c>
      <c r="CR167" s="29">
        <v>14325</v>
      </c>
      <c r="CS167" s="29">
        <v>11166</v>
      </c>
      <c r="CT167" s="29">
        <v>7942</v>
      </c>
      <c r="CU167" s="47">
        <v>7905</v>
      </c>
      <c r="CV167" s="47">
        <v>2806</v>
      </c>
      <c r="CW167" s="47">
        <v>3519</v>
      </c>
      <c r="CX167" s="47">
        <v>1104</v>
      </c>
      <c r="CY167" s="47">
        <v>476</v>
      </c>
      <c r="CZ167" s="47">
        <v>52</v>
      </c>
      <c r="DA167" s="47">
        <v>52</v>
      </c>
      <c r="DB167" s="47">
        <v>52</v>
      </c>
      <c r="DC167" s="47">
        <v>49</v>
      </c>
    </row>
    <row r="168" spans="1:107" x14ac:dyDescent="0.35">
      <c r="A168" s="1" t="s">
        <v>1132</v>
      </c>
      <c r="B168" s="5" t="s">
        <v>0</v>
      </c>
      <c r="C168" s="3" t="s">
        <v>1133</v>
      </c>
      <c r="D168" s="4" t="s">
        <v>1134</v>
      </c>
      <c r="E168" s="27"/>
      <c r="F168" s="5">
        <v>49</v>
      </c>
      <c r="G168" s="2">
        <v>0.60820875812159947</v>
      </c>
      <c r="H168" s="2" t="s">
        <v>1276</v>
      </c>
      <c r="I168" s="8" t="s">
        <v>808</v>
      </c>
      <c r="J168" s="7" t="s">
        <v>1367</v>
      </c>
      <c r="K168" s="8">
        <v>0</v>
      </c>
      <c r="L168" s="8">
        <v>0</v>
      </c>
      <c r="M168" s="7">
        <v>0</v>
      </c>
      <c r="N168" s="8">
        <v>4726</v>
      </c>
      <c r="O168" s="8" t="s">
        <v>23</v>
      </c>
      <c r="P168" s="7" t="s">
        <v>1136</v>
      </c>
      <c r="Q168" s="8">
        <v>0</v>
      </c>
      <c r="R168" s="8">
        <v>0</v>
      </c>
      <c r="S168" s="7">
        <v>0</v>
      </c>
      <c r="T168" s="15">
        <v>0</v>
      </c>
      <c r="U168" s="10">
        <v>0</v>
      </c>
      <c r="V168" s="10">
        <v>0</v>
      </c>
      <c r="W168" s="10">
        <v>0</v>
      </c>
      <c r="X168" s="10">
        <v>24242</v>
      </c>
      <c r="Y168" s="12" t="s">
        <v>14</v>
      </c>
      <c r="Z168" s="12" t="s">
        <v>1277</v>
      </c>
      <c r="AA168" s="13" t="s">
        <v>1137</v>
      </c>
      <c r="AB168" s="14">
        <v>1359</v>
      </c>
      <c r="AC168" s="15" t="s">
        <v>1138</v>
      </c>
      <c r="AD168" s="28">
        <v>32165</v>
      </c>
      <c r="AE168" s="14">
        <v>18503</v>
      </c>
      <c r="AF168" s="14"/>
      <c r="AG168" s="14">
        <v>17144</v>
      </c>
      <c r="AH168" s="14" t="s">
        <v>17</v>
      </c>
      <c r="AI168" s="15" t="s">
        <v>1131</v>
      </c>
      <c r="AJ168" s="14">
        <v>1</v>
      </c>
      <c r="AK168" s="14">
        <v>0</v>
      </c>
      <c r="AL168" s="14">
        <v>0</v>
      </c>
      <c r="AM168" s="51">
        <v>52251</v>
      </c>
      <c r="AN168" s="51">
        <v>2766</v>
      </c>
      <c r="AO168" s="51">
        <v>4905</v>
      </c>
      <c r="AP168" s="51">
        <v>143</v>
      </c>
      <c r="AQ168" s="51">
        <v>1862</v>
      </c>
      <c r="AR168" s="51">
        <v>42388</v>
      </c>
      <c r="AS168" s="51">
        <v>183</v>
      </c>
      <c r="AT168" s="51">
        <v>4</v>
      </c>
      <c r="AU168" s="51">
        <v>26216</v>
      </c>
      <c r="AV168" s="51">
        <v>26035</v>
      </c>
      <c r="AW168" s="51">
        <v>21694</v>
      </c>
      <c r="AX168" s="51">
        <v>30557</v>
      </c>
      <c r="AY168" s="14">
        <v>19340</v>
      </c>
      <c r="AZ168" s="14">
        <v>75724</v>
      </c>
      <c r="BA168" s="14">
        <v>0</v>
      </c>
      <c r="BB168" s="14">
        <v>517</v>
      </c>
      <c r="BC168" s="14">
        <v>75207</v>
      </c>
      <c r="BD168" s="14">
        <v>40345</v>
      </c>
      <c r="BE168" s="11">
        <v>0.53279013258676244</v>
      </c>
      <c r="BF168" s="14">
        <v>5337</v>
      </c>
      <c r="BG168" s="11">
        <v>7.0479636574930005E-2</v>
      </c>
      <c r="BH168" s="14">
        <v>29147</v>
      </c>
      <c r="BI168" s="11">
        <v>0.38491099255189898</v>
      </c>
      <c r="BJ168" s="14">
        <v>0</v>
      </c>
      <c r="BK168" s="14">
        <v>0</v>
      </c>
      <c r="BL168" s="14">
        <v>0</v>
      </c>
      <c r="BM168" s="14">
        <v>895</v>
      </c>
      <c r="BN168" s="14">
        <v>895</v>
      </c>
      <c r="BO168" s="11">
        <f>Table14[[#This Row],[Base_Stock_GE15]]/Table14[[#This Row],[All_Voters_GE15]]</f>
        <v>0.32013628440124664</v>
      </c>
      <c r="BP168" s="14">
        <v>0</v>
      </c>
      <c r="BQ168" s="10">
        <v>25264</v>
      </c>
      <c r="BR168" s="44">
        <v>15596</v>
      </c>
      <c r="BS168" s="10">
        <v>5462</v>
      </c>
      <c r="BT168" s="10">
        <v>37088</v>
      </c>
      <c r="BU168" s="10">
        <v>20960</v>
      </c>
      <c r="BV168" s="10">
        <v>12214</v>
      </c>
      <c r="BW168" s="10">
        <f t="shared" si="45"/>
        <v>42550</v>
      </c>
      <c r="BX168" s="10">
        <f t="shared" si="46"/>
        <v>33174</v>
      </c>
      <c r="BY168" s="14">
        <v>79901</v>
      </c>
      <c r="BZ168" s="14">
        <v>0</v>
      </c>
      <c r="CA168" s="14">
        <v>620</v>
      </c>
      <c r="CB168" s="14">
        <v>79281</v>
      </c>
      <c r="CC168" s="14">
        <v>45805</v>
      </c>
      <c r="CD168" s="14">
        <v>5061</v>
      </c>
      <c r="CE168" s="14">
        <v>28462</v>
      </c>
      <c r="CF168" s="14">
        <v>0</v>
      </c>
      <c r="CG168" s="14">
        <v>0</v>
      </c>
      <c r="CH168" s="14">
        <v>0</v>
      </c>
      <c r="CI168" s="14">
        <v>573</v>
      </c>
      <c r="CJ168" s="14">
        <f t="shared" si="47"/>
        <v>573</v>
      </c>
      <c r="CK168" s="14">
        <v>40500</v>
      </c>
      <c r="CL168" s="14">
        <v>39401</v>
      </c>
      <c r="CM168" s="14">
        <v>43133</v>
      </c>
      <c r="CN168" s="11">
        <f t="shared" si="48"/>
        <v>0.53983054029361333</v>
      </c>
      <c r="CO168" s="14">
        <v>36768</v>
      </c>
      <c r="CP168" s="11">
        <f t="shared" si="49"/>
        <v>0.46016945970638667</v>
      </c>
      <c r="CQ168" s="29">
        <v>4290</v>
      </c>
      <c r="CR168" s="29">
        <v>38542</v>
      </c>
      <c r="CS168" s="29">
        <v>23159</v>
      </c>
      <c r="CT168" s="29">
        <v>12489</v>
      </c>
      <c r="CU168" s="45">
        <v>34127</v>
      </c>
      <c r="CV168" s="45">
        <v>12402</v>
      </c>
      <c r="CW168" s="45">
        <v>13521</v>
      </c>
      <c r="CX168" s="45">
        <v>4856</v>
      </c>
      <c r="CY168" s="45">
        <v>3348</v>
      </c>
      <c r="CZ168" s="45">
        <v>339</v>
      </c>
      <c r="DA168" s="45">
        <v>336</v>
      </c>
      <c r="DB168" s="45">
        <v>313</v>
      </c>
      <c r="DC168" s="45">
        <v>281</v>
      </c>
    </row>
    <row r="169" spans="1:107" x14ac:dyDescent="0.35">
      <c r="A169" s="1" t="s">
        <v>1132</v>
      </c>
      <c r="B169" s="5" t="s">
        <v>0</v>
      </c>
      <c r="C169" s="3" t="s">
        <v>1139</v>
      </c>
      <c r="D169" s="4" t="s">
        <v>1140</v>
      </c>
      <c r="E169" s="27"/>
      <c r="F169" s="5">
        <v>57</v>
      </c>
      <c r="G169" s="2">
        <v>0.62956586362791855</v>
      </c>
      <c r="H169" s="2" t="s">
        <v>1276</v>
      </c>
      <c r="I169" s="8" t="s">
        <v>1141</v>
      </c>
      <c r="J169" s="7" t="s">
        <v>1368</v>
      </c>
      <c r="K169" s="8">
        <v>0</v>
      </c>
      <c r="L169" s="8">
        <v>0</v>
      </c>
      <c r="M169" s="7">
        <v>0</v>
      </c>
      <c r="N169" s="8">
        <v>3225</v>
      </c>
      <c r="O169" s="8" t="s">
        <v>1142</v>
      </c>
      <c r="P169" s="7" t="s">
        <v>1143</v>
      </c>
      <c r="Q169" s="8">
        <v>0</v>
      </c>
      <c r="R169" s="8">
        <v>0</v>
      </c>
      <c r="S169" s="7">
        <v>0</v>
      </c>
      <c r="T169" s="15">
        <v>8174</v>
      </c>
      <c r="U169" s="10">
        <v>0</v>
      </c>
      <c r="V169" s="10">
        <v>0</v>
      </c>
      <c r="W169" s="10">
        <v>0</v>
      </c>
      <c r="X169" s="10">
        <v>4951</v>
      </c>
      <c r="Y169" s="12" t="s">
        <v>1144</v>
      </c>
      <c r="Z169" s="12" t="s">
        <v>1277</v>
      </c>
      <c r="AA169" s="13" t="s">
        <v>1145</v>
      </c>
      <c r="AB169" s="14">
        <v>1774</v>
      </c>
      <c r="AC169" s="15" t="s">
        <v>1146</v>
      </c>
      <c r="AD169" s="28">
        <v>24333</v>
      </c>
      <c r="AE169" s="14">
        <v>13033</v>
      </c>
      <c r="AF169" s="14"/>
      <c r="AG169" s="14">
        <v>7113</v>
      </c>
      <c r="AH169" s="14" t="s">
        <v>1147</v>
      </c>
      <c r="AI169" s="15" t="s">
        <v>1131</v>
      </c>
      <c r="AJ169" s="14">
        <v>1</v>
      </c>
      <c r="AK169" s="14">
        <v>0</v>
      </c>
      <c r="AL169" s="14">
        <v>0</v>
      </c>
      <c r="AM169" s="51">
        <v>47007</v>
      </c>
      <c r="AN169" s="51">
        <v>1624</v>
      </c>
      <c r="AO169" s="51">
        <v>1029</v>
      </c>
      <c r="AP169" s="51">
        <v>62</v>
      </c>
      <c r="AQ169" s="51">
        <v>516</v>
      </c>
      <c r="AR169" s="51">
        <v>43653</v>
      </c>
      <c r="AS169" s="51">
        <v>120</v>
      </c>
      <c r="AT169" s="51">
        <v>3</v>
      </c>
      <c r="AU169" s="51">
        <v>23412</v>
      </c>
      <c r="AV169" s="51">
        <v>23595</v>
      </c>
      <c r="AW169" s="51">
        <v>19841</v>
      </c>
      <c r="AX169" s="51">
        <v>27166</v>
      </c>
      <c r="AY169" s="14">
        <v>13409.666666666666</v>
      </c>
      <c r="AZ169" s="14">
        <v>80735</v>
      </c>
      <c r="BA169" s="14">
        <v>2</v>
      </c>
      <c r="BB169" s="14">
        <v>175</v>
      </c>
      <c r="BC169" s="14">
        <v>80558</v>
      </c>
      <c r="BD169" s="14">
        <v>19194</v>
      </c>
      <c r="BE169" s="11">
        <v>0.23774075679692822</v>
      </c>
      <c r="BF169" s="14">
        <v>1637</v>
      </c>
      <c r="BG169" s="11">
        <v>2.0276212299498358E-2</v>
      </c>
      <c r="BH169" s="14">
        <v>58965</v>
      </c>
      <c r="BI169" s="11">
        <v>0.73035238744039144</v>
      </c>
      <c r="BJ169" s="14">
        <v>0</v>
      </c>
      <c r="BK169" s="14">
        <v>0</v>
      </c>
      <c r="BL169" s="14">
        <v>0</v>
      </c>
      <c r="BM169" s="14">
        <v>939</v>
      </c>
      <c r="BN169" s="14">
        <v>939</v>
      </c>
      <c r="BO169" s="11">
        <f>Table14[[#This Row],[Base_Stock_GE15]]/Table14[[#This Row],[All_Voters_GE15]]</f>
        <v>6.1324084969344148E-2</v>
      </c>
      <c r="BP169" s="14">
        <v>0</v>
      </c>
      <c r="BQ169" s="10">
        <v>34752</v>
      </c>
      <c r="BR169" s="44">
        <v>17571</v>
      </c>
      <c r="BS169" s="10">
        <v>5946</v>
      </c>
      <c r="BT169" s="10">
        <v>43114</v>
      </c>
      <c r="BU169" s="10">
        <v>20811</v>
      </c>
      <c r="BV169" s="10">
        <v>10864</v>
      </c>
      <c r="BW169" s="10">
        <f t="shared" si="45"/>
        <v>49060</v>
      </c>
      <c r="BX169" s="10">
        <f t="shared" si="46"/>
        <v>31675</v>
      </c>
      <c r="BY169" s="14">
        <v>86667</v>
      </c>
      <c r="BZ169" s="14">
        <v>0</v>
      </c>
      <c r="CA169" s="14">
        <v>191</v>
      </c>
      <c r="CB169" s="14">
        <v>86476</v>
      </c>
      <c r="CC169" s="14">
        <v>22992</v>
      </c>
      <c r="CD169" s="14">
        <v>1683</v>
      </c>
      <c r="CE169" s="14">
        <v>61692</v>
      </c>
      <c r="CF169" s="14">
        <v>0</v>
      </c>
      <c r="CG169" s="14">
        <v>0</v>
      </c>
      <c r="CH169" s="14">
        <v>0</v>
      </c>
      <c r="CI169" s="14">
        <v>300</v>
      </c>
      <c r="CJ169" s="14">
        <f t="shared" si="47"/>
        <v>300</v>
      </c>
      <c r="CK169" s="14">
        <v>43835</v>
      </c>
      <c r="CL169" s="14">
        <v>42832</v>
      </c>
      <c r="CM169" s="14">
        <v>49190</v>
      </c>
      <c r="CN169" s="11">
        <f t="shared" si="48"/>
        <v>0.56757474009715347</v>
      </c>
      <c r="CO169" s="14">
        <v>37477</v>
      </c>
      <c r="CP169" s="11">
        <f t="shared" si="49"/>
        <v>0.43242525990284653</v>
      </c>
      <c r="CQ169" s="29">
        <v>4875</v>
      </c>
      <c r="CR169" s="29">
        <v>44160</v>
      </c>
      <c r="CS169" s="29">
        <v>24091</v>
      </c>
      <c r="CT169" s="29">
        <v>11810</v>
      </c>
      <c r="CU169" s="45">
        <v>18258</v>
      </c>
      <c r="CV169" s="45">
        <v>7059</v>
      </c>
      <c r="CW169" s="45">
        <v>7580</v>
      </c>
      <c r="CX169" s="45">
        <v>2323</v>
      </c>
      <c r="CY169" s="45">
        <v>1296</v>
      </c>
      <c r="CZ169" s="45">
        <v>293</v>
      </c>
      <c r="DA169" s="45">
        <v>217</v>
      </c>
      <c r="DB169" s="45">
        <v>209</v>
      </c>
      <c r="DC169" s="45">
        <v>187</v>
      </c>
    </row>
    <row r="170" spans="1:107" x14ac:dyDescent="0.35">
      <c r="A170" s="1" t="s">
        <v>1132</v>
      </c>
      <c r="B170" s="5" t="s">
        <v>0</v>
      </c>
      <c r="C170" s="3" t="s">
        <v>1148</v>
      </c>
      <c r="D170" s="4" t="s">
        <v>1149</v>
      </c>
      <c r="E170" s="27"/>
      <c r="F170" s="5">
        <v>44</v>
      </c>
      <c r="G170" s="2">
        <v>0.69189459848532264</v>
      </c>
      <c r="H170" s="2" t="s">
        <v>1276</v>
      </c>
      <c r="I170" s="8" t="s">
        <v>1131</v>
      </c>
      <c r="J170" s="7" t="s">
        <v>1369</v>
      </c>
      <c r="K170" s="8">
        <v>20566</v>
      </c>
      <c r="L170" s="8" t="s">
        <v>8</v>
      </c>
      <c r="M170" s="7" t="s">
        <v>1150</v>
      </c>
      <c r="N170" s="8">
        <v>8323</v>
      </c>
      <c r="O170" s="8" t="s">
        <v>23</v>
      </c>
      <c r="P170" s="7" t="s">
        <v>1151</v>
      </c>
      <c r="Q170" s="8">
        <v>0</v>
      </c>
      <c r="R170" s="8">
        <v>0</v>
      </c>
      <c r="S170" s="7">
        <v>0</v>
      </c>
      <c r="T170" s="15">
        <v>4582</v>
      </c>
      <c r="U170" s="10">
        <v>0</v>
      </c>
      <c r="V170" s="10">
        <v>0</v>
      </c>
      <c r="W170" s="10">
        <v>0</v>
      </c>
      <c r="X170" s="10">
        <v>43619</v>
      </c>
      <c r="Y170" s="12" t="s">
        <v>1131</v>
      </c>
      <c r="Z170" s="12" t="s">
        <v>1277</v>
      </c>
      <c r="AA170" s="13" t="s">
        <v>1152</v>
      </c>
      <c r="AB170" s="14">
        <v>4262</v>
      </c>
      <c r="AC170" s="15" t="s">
        <v>551</v>
      </c>
      <c r="AD170" s="28">
        <v>33105</v>
      </c>
      <c r="AE170" s="14">
        <v>19167</v>
      </c>
      <c r="AF170" s="14">
        <v>1410</v>
      </c>
      <c r="AG170" s="14">
        <v>23429</v>
      </c>
      <c r="AH170" s="14" t="s">
        <v>17</v>
      </c>
      <c r="AI170" s="15" t="s">
        <v>1131</v>
      </c>
      <c r="AJ170" s="14">
        <v>0</v>
      </c>
      <c r="AK170" s="14">
        <v>0</v>
      </c>
      <c r="AL170" s="14">
        <v>0</v>
      </c>
      <c r="AM170" s="51">
        <v>57919</v>
      </c>
      <c r="AN170" s="51">
        <v>2379</v>
      </c>
      <c r="AO170" s="51">
        <v>839</v>
      </c>
      <c r="AP170" s="51">
        <v>159</v>
      </c>
      <c r="AQ170" s="51">
        <v>432</v>
      </c>
      <c r="AR170" s="51">
        <v>53983</v>
      </c>
      <c r="AS170" s="51">
        <v>126</v>
      </c>
      <c r="AT170" s="51">
        <v>1</v>
      </c>
      <c r="AU170" s="51">
        <v>27924</v>
      </c>
      <c r="AV170" s="51">
        <v>29995</v>
      </c>
      <c r="AW170" s="51">
        <v>24736</v>
      </c>
      <c r="AX170" s="51">
        <v>33183</v>
      </c>
      <c r="AY170" s="14">
        <v>19592.333333333332</v>
      </c>
      <c r="AZ170" s="14">
        <v>79885</v>
      </c>
      <c r="BA170" s="14">
        <v>2</v>
      </c>
      <c r="BB170" s="14">
        <v>486</v>
      </c>
      <c r="BC170" s="14">
        <v>79397</v>
      </c>
      <c r="BD170" s="14">
        <v>45911</v>
      </c>
      <c r="BE170" s="11">
        <v>0.57471365087313009</v>
      </c>
      <c r="BF170" s="14">
        <v>901</v>
      </c>
      <c r="BG170" s="11">
        <v>1.1278713150153346E-2</v>
      </c>
      <c r="BH170" s="14">
        <v>32378</v>
      </c>
      <c r="BI170" s="11">
        <v>0.40530762971771922</v>
      </c>
      <c r="BJ170" s="14">
        <v>0</v>
      </c>
      <c r="BK170" s="14">
        <v>0</v>
      </c>
      <c r="BL170" s="14">
        <v>0</v>
      </c>
      <c r="BM170" s="14">
        <v>695</v>
      </c>
      <c r="BN170" s="14">
        <v>695</v>
      </c>
      <c r="BO170" s="11">
        <f>Table14[[#This Row],[Base_Stock_GE15]]/Table14[[#This Row],[All_Voters_GE15]]</f>
        <v>0.54602240721036488</v>
      </c>
      <c r="BP170" s="14">
        <v>28466</v>
      </c>
      <c r="BQ170" s="10">
        <v>23650</v>
      </c>
      <c r="BR170" s="44">
        <v>15254</v>
      </c>
      <c r="BS170" s="10">
        <v>5112</v>
      </c>
      <c r="BT170" s="10">
        <v>38718</v>
      </c>
      <c r="BU170" s="10">
        <v>23835</v>
      </c>
      <c r="BV170" s="10">
        <v>12220</v>
      </c>
      <c r="BW170" s="10">
        <f t="shared" si="45"/>
        <v>43830</v>
      </c>
      <c r="BX170" s="10">
        <f t="shared" si="46"/>
        <v>36055</v>
      </c>
      <c r="BY170" s="14">
        <v>84066</v>
      </c>
      <c r="BZ170" s="14">
        <v>0</v>
      </c>
      <c r="CA170" s="14">
        <v>517</v>
      </c>
      <c r="CB170" s="14">
        <v>83549</v>
      </c>
      <c r="CC170" s="14">
        <v>50045</v>
      </c>
      <c r="CD170" s="14">
        <v>893</v>
      </c>
      <c r="CE170" s="14">
        <v>32746</v>
      </c>
      <c r="CF170" s="14">
        <v>0</v>
      </c>
      <c r="CG170" s="14">
        <v>0</v>
      </c>
      <c r="CH170" s="14">
        <v>0</v>
      </c>
      <c r="CI170" s="14">
        <v>382</v>
      </c>
      <c r="CJ170" s="14">
        <f t="shared" si="47"/>
        <v>382</v>
      </c>
      <c r="CK170" s="14">
        <v>41263</v>
      </c>
      <c r="CL170" s="14">
        <v>42803</v>
      </c>
      <c r="CM170" s="14">
        <v>43197</v>
      </c>
      <c r="CN170" s="11">
        <f t="shared" si="48"/>
        <v>0.51384626364998931</v>
      </c>
      <c r="CO170" s="14">
        <v>40869</v>
      </c>
      <c r="CP170" s="11">
        <f t="shared" si="49"/>
        <v>0.48615373635001069</v>
      </c>
      <c r="CQ170" s="29">
        <v>4192</v>
      </c>
      <c r="CR170" s="29">
        <v>39196</v>
      </c>
      <c r="CS170" s="29">
        <v>25790</v>
      </c>
      <c r="CT170" s="29">
        <v>13668</v>
      </c>
      <c r="CU170" s="45">
        <v>33358</v>
      </c>
      <c r="CV170" s="45">
        <v>12370</v>
      </c>
      <c r="CW170" s="45">
        <v>14639</v>
      </c>
      <c r="CX170" s="45">
        <v>4077</v>
      </c>
      <c r="CY170" s="45">
        <v>2272</v>
      </c>
      <c r="CZ170" s="45">
        <v>291</v>
      </c>
      <c r="DA170" s="45">
        <v>291</v>
      </c>
      <c r="DB170" s="45">
        <v>269</v>
      </c>
      <c r="DC170" s="45">
        <v>229</v>
      </c>
    </row>
    <row r="171" spans="1:107" x14ac:dyDescent="0.35">
      <c r="A171" s="1" t="s">
        <v>1132</v>
      </c>
      <c r="B171" s="5" t="s">
        <v>0</v>
      </c>
      <c r="C171" s="3" t="s">
        <v>1153</v>
      </c>
      <c r="D171" s="4" t="s">
        <v>1154</v>
      </c>
      <c r="E171" s="27"/>
      <c r="F171" s="5">
        <v>40</v>
      </c>
      <c r="G171" s="2">
        <v>0.70873541998825207</v>
      </c>
      <c r="H171" s="2" t="s">
        <v>1276</v>
      </c>
      <c r="I171" s="8" t="s">
        <v>7</v>
      </c>
      <c r="J171" s="7" t="s">
        <v>1370</v>
      </c>
      <c r="K171" s="8">
        <v>0</v>
      </c>
      <c r="L171" s="8">
        <v>0</v>
      </c>
      <c r="M171" s="7">
        <v>0</v>
      </c>
      <c r="N171" s="8">
        <v>24943</v>
      </c>
      <c r="O171" s="8" t="s">
        <v>1157</v>
      </c>
      <c r="P171" s="7" t="s">
        <v>1370</v>
      </c>
      <c r="Q171" s="8">
        <v>0</v>
      </c>
      <c r="R171" s="8">
        <v>0</v>
      </c>
      <c r="S171" s="7">
        <v>0</v>
      </c>
      <c r="T171" s="15">
        <v>233</v>
      </c>
      <c r="U171" s="10">
        <v>0</v>
      </c>
      <c r="V171" s="10">
        <v>1</v>
      </c>
      <c r="W171" s="10">
        <v>0</v>
      </c>
      <c r="X171" s="10">
        <v>21</v>
      </c>
      <c r="Y171" s="12" t="s">
        <v>1155</v>
      </c>
      <c r="Z171" s="12" t="s">
        <v>1277</v>
      </c>
      <c r="AA171" s="13" t="s">
        <v>1156</v>
      </c>
      <c r="AB171" s="14">
        <v>7624</v>
      </c>
      <c r="AC171" s="15" t="s">
        <v>89</v>
      </c>
      <c r="AD171" s="28">
        <v>23238</v>
      </c>
      <c r="AE171" s="14">
        <v>22494</v>
      </c>
      <c r="AF171" s="14">
        <v>1357</v>
      </c>
      <c r="AG171" s="14">
        <v>14870</v>
      </c>
      <c r="AH171" s="14" t="s">
        <v>1157</v>
      </c>
      <c r="AI171" s="15" t="s">
        <v>29</v>
      </c>
      <c r="AJ171" s="14">
        <v>1</v>
      </c>
      <c r="AK171" s="14">
        <v>0</v>
      </c>
      <c r="AL171" s="14">
        <v>0</v>
      </c>
      <c r="AM171" s="51">
        <v>54400</v>
      </c>
      <c r="AN171" s="51">
        <v>2328</v>
      </c>
      <c r="AO171" s="51">
        <v>2911</v>
      </c>
      <c r="AP171" s="51">
        <v>204</v>
      </c>
      <c r="AQ171" s="51">
        <v>647</v>
      </c>
      <c r="AR171" s="51">
        <v>48108</v>
      </c>
      <c r="AS171" s="51">
        <v>200</v>
      </c>
      <c r="AT171" s="51">
        <v>2</v>
      </c>
      <c r="AU171" s="51">
        <v>26521</v>
      </c>
      <c r="AV171" s="51">
        <v>27879</v>
      </c>
      <c r="AW171" s="51">
        <v>21237</v>
      </c>
      <c r="AX171" s="51">
        <v>33163</v>
      </c>
      <c r="AY171" s="14">
        <v>20274.666666666668</v>
      </c>
      <c r="AZ171" s="14">
        <v>83419</v>
      </c>
      <c r="BA171" s="14">
        <v>2</v>
      </c>
      <c r="BB171" s="14">
        <v>193</v>
      </c>
      <c r="BC171" s="14">
        <v>83224</v>
      </c>
      <c r="BD171" s="14">
        <v>39750</v>
      </c>
      <c r="BE171" s="11">
        <v>0.47651014756829979</v>
      </c>
      <c r="BF171" s="14">
        <v>3510</v>
      </c>
      <c r="BG171" s="11">
        <v>4.2076745106031002E-2</v>
      </c>
      <c r="BH171" s="14">
        <v>39133</v>
      </c>
      <c r="BI171" s="11">
        <v>0.46911375106390629</v>
      </c>
      <c r="BJ171" s="14">
        <v>0</v>
      </c>
      <c r="BK171" s="14">
        <v>0</v>
      </c>
      <c r="BL171" s="14">
        <v>0</v>
      </c>
      <c r="BM171" s="14">
        <v>1026</v>
      </c>
      <c r="BN171" s="14">
        <v>1026</v>
      </c>
      <c r="BO171" s="11">
        <f>Table14[[#This Row],[Base_Stock_GE15]]/Table14[[#This Row],[All_Voters_GE15]]</f>
        <v>2.5174121003608291E-4</v>
      </c>
      <c r="BP171" s="14">
        <v>0</v>
      </c>
      <c r="BQ171" s="10">
        <v>30484</v>
      </c>
      <c r="BR171" s="44">
        <v>16301</v>
      </c>
      <c r="BS171" s="10">
        <v>5875</v>
      </c>
      <c r="BT171" s="10">
        <v>40454</v>
      </c>
      <c r="BU171" s="10">
        <v>25152</v>
      </c>
      <c r="BV171" s="10">
        <v>11938</v>
      </c>
      <c r="BW171" s="10">
        <f t="shared" si="45"/>
        <v>46329</v>
      </c>
      <c r="BX171" s="10">
        <f t="shared" si="46"/>
        <v>37090</v>
      </c>
      <c r="BY171" s="14">
        <v>89595</v>
      </c>
      <c r="BZ171" s="14">
        <v>0</v>
      </c>
      <c r="CA171" s="14">
        <v>193</v>
      </c>
      <c r="CB171" s="14">
        <v>89402</v>
      </c>
      <c r="CC171" s="14">
        <v>45313</v>
      </c>
      <c r="CD171" s="14">
        <v>3443</v>
      </c>
      <c r="CE171" s="14">
        <v>40262</v>
      </c>
      <c r="CF171" s="14">
        <v>0</v>
      </c>
      <c r="CG171" s="14">
        <v>0</v>
      </c>
      <c r="CH171" s="14">
        <v>0</v>
      </c>
      <c r="CI171" s="14">
        <v>577</v>
      </c>
      <c r="CJ171" s="14">
        <f t="shared" si="47"/>
        <v>577</v>
      </c>
      <c r="CK171" s="14">
        <v>44709</v>
      </c>
      <c r="CL171" s="14">
        <v>44886</v>
      </c>
      <c r="CM171" s="14">
        <v>46972</v>
      </c>
      <c r="CN171" s="11">
        <f t="shared" si="48"/>
        <v>0.52427032758524472</v>
      </c>
      <c r="CO171" s="14">
        <v>42623</v>
      </c>
      <c r="CP171" s="11">
        <f t="shared" si="49"/>
        <v>0.47572967241475528</v>
      </c>
      <c r="CQ171" s="29">
        <v>4877</v>
      </c>
      <c r="CR171" s="29">
        <v>41894</v>
      </c>
      <c r="CS171" s="29">
        <v>27188</v>
      </c>
      <c r="CT171" s="29">
        <v>13716</v>
      </c>
      <c r="CU171" s="45">
        <v>24487</v>
      </c>
      <c r="CV171" s="45">
        <v>9371</v>
      </c>
      <c r="CW171" s="45">
        <v>10208</v>
      </c>
      <c r="CX171" s="45">
        <v>3209</v>
      </c>
      <c r="CY171" s="45">
        <v>1699</v>
      </c>
      <c r="CZ171" s="45">
        <v>249</v>
      </c>
      <c r="DA171" s="45">
        <v>246</v>
      </c>
      <c r="DB171" s="45">
        <v>228</v>
      </c>
      <c r="DC171" s="45">
        <v>204</v>
      </c>
    </row>
    <row r="172" spans="1:107" x14ac:dyDescent="0.35">
      <c r="A172" s="1" t="s">
        <v>1132</v>
      </c>
      <c r="B172" s="5" t="s">
        <v>0</v>
      </c>
      <c r="C172" s="3" t="s">
        <v>1158</v>
      </c>
      <c r="D172" s="4" t="s">
        <v>1159</v>
      </c>
      <c r="E172" s="27"/>
      <c r="F172" s="5">
        <v>26</v>
      </c>
      <c r="G172" s="2">
        <v>0.66128079726861677</v>
      </c>
      <c r="H172" s="2" t="s">
        <v>1276</v>
      </c>
      <c r="I172" s="8" t="s">
        <v>7</v>
      </c>
      <c r="J17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MUSTAPHA SAKMUD </v>
      </c>
      <c r="K172" s="8">
        <v>19980</v>
      </c>
      <c r="L172" s="8" t="s">
        <v>8</v>
      </c>
      <c r="M172" s="7" t="s">
        <v>1161</v>
      </c>
      <c r="N172" s="8">
        <v>27022</v>
      </c>
      <c r="O172" s="8" t="s">
        <v>23</v>
      </c>
      <c r="P172" s="7" t="s">
        <v>1160</v>
      </c>
      <c r="Q172" s="8">
        <v>0</v>
      </c>
      <c r="R172" s="8">
        <v>0</v>
      </c>
      <c r="S172" s="7">
        <v>0</v>
      </c>
      <c r="T172" s="15">
        <v>7042</v>
      </c>
      <c r="U172" s="10">
        <v>0</v>
      </c>
      <c r="V172" s="10">
        <v>1</v>
      </c>
      <c r="W172" s="10">
        <v>0</v>
      </c>
      <c r="X172" s="10">
        <v>27215</v>
      </c>
      <c r="Y172" s="12" t="s">
        <v>1131</v>
      </c>
      <c r="Z172" s="12" t="s">
        <v>1277</v>
      </c>
      <c r="AA172" s="13" t="s">
        <v>1162</v>
      </c>
      <c r="AB172" s="14">
        <v>12984</v>
      </c>
      <c r="AC172" s="15" t="s">
        <v>242</v>
      </c>
      <c r="AD172" s="28">
        <v>38394</v>
      </c>
      <c r="AE172" s="14">
        <v>15436</v>
      </c>
      <c r="AF172" s="14"/>
      <c r="AG172" s="14">
        <v>28420</v>
      </c>
      <c r="AH172" s="14" t="s">
        <v>17</v>
      </c>
      <c r="AI172" s="15" t="s">
        <v>1131</v>
      </c>
      <c r="AJ172" s="14">
        <v>0</v>
      </c>
      <c r="AK172" s="14">
        <v>0</v>
      </c>
      <c r="AL172" s="14">
        <v>0</v>
      </c>
      <c r="AM172" s="51">
        <v>62415</v>
      </c>
      <c r="AN172" s="51">
        <v>7487</v>
      </c>
      <c r="AO172" s="51">
        <v>12226</v>
      </c>
      <c r="AP172" s="51">
        <v>513</v>
      </c>
      <c r="AQ172" s="51">
        <v>2993</v>
      </c>
      <c r="AR172" s="51">
        <v>38691</v>
      </c>
      <c r="AS172" s="51">
        <v>495</v>
      </c>
      <c r="AT172" s="51">
        <v>10</v>
      </c>
      <c r="AU172" s="51">
        <v>31631</v>
      </c>
      <c r="AV172" s="51">
        <v>30784</v>
      </c>
      <c r="AW172" s="51">
        <v>29076</v>
      </c>
      <c r="AX172" s="51">
        <v>33339</v>
      </c>
      <c r="AY172" s="14">
        <v>18388.333333333332</v>
      </c>
      <c r="AZ172" s="14">
        <v>108370</v>
      </c>
      <c r="BA172" s="14">
        <v>9</v>
      </c>
      <c r="BB172" s="14">
        <v>2185</v>
      </c>
      <c r="BC172" s="14">
        <v>106176</v>
      </c>
      <c r="BD172" s="14">
        <v>59631</v>
      </c>
      <c r="BE172" s="11">
        <v>0.55025376026575623</v>
      </c>
      <c r="BF172" s="14">
        <v>18472</v>
      </c>
      <c r="BG172" s="11">
        <v>0.17045307741995017</v>
      </c>
      <c r="BH172" s="14">
        <v>28176</v>
      </c>
      <c r="BI172" s="11">
        <v>0.2599981544707945</v>
      </c>
      <c r="BJ172" s="14">
        <v>0</v>
      </c>
      <c r="BK172" s="14">
        <v>0</v>
      </c>
      <c r="BL172" s="14">
        <v>0</v>
      </c>
      <c r="BM172" s="14">
        <v>2091</v>
      </c>
      <c r="BN172" s="14">
        <v>2091</v>
      </c>
      <c r="BO172" s="11">
        <f>Table14[[#This Row],[Base_Stock_GE15]]/Table14[[#This Row],[All_Voters_GE15]]</f>
        <v>0.25113038663836856</v>
      </c>
      <c r="BP172" s="14">
        <v>20497</v>
      </c>
      <c r="BQ172" s="10">
        <v>46837</v>
      </c>
      <c r="BR172" s="44">
        <v>25084</v>
      </c>
      <c r="BS172" s="10">
        <v>8686</v>
      </c>
      <c r="BT172" s="10">
        <v>59500</v>
      </c>
      <c r="BU172" s="10">
        <v>28220</v>
      </c>
      <c r="BV172" s="10">
        <v>11964</v>
      </c>
      <c r="BW172" s="10">
        <f t="shared" si="45"/>
        <v>68186</v>
      </c>
      <c r="BX172" s="10">
        <f t="shared" si="46"/>
        <v>40184</v>
      </c>
      <c r="BY172" s="14">
        <v>119503</v>
      </c>
      <c r="BZ172" s="14">
        <v>0</v>
      </c>
      <c r="CA172" s="14">
        <v>3256</v>
      </c>
      <c r="CB172" s="14">
        <v>116247</v>
      </c>
      <c r="CC172" s="14">
        <v>68535</v>
      </c>
      <c r="CD172" s="14">
        <v>19355</v>
      </c>
      <c r="CE172" s="14">
        <v>29790</v>
      </c>
      <c r="CF172" s="14">
        <v>0</v>
      </c>
      <c r="CG172" s="14">
        <v>0</v>
      </c>
      <c r="CH172" s="14">
        <v>0</v>
      </c>
      <c r="CI172" s="14">
        <v>1823</v>
      </c>
      <c r="CJ172" s="14">
        <f t="shared" si="47"/>
        <v>1823</v>
      </c>
      <c r="CK172" s="14">
        <v>61068</v>
      </c>
      <c r="CL172" s="14">
        <v>58435</v>
      </c>
      <c r="CM172" s="14">
        <v>71389</v>
      </c>
      <c r="CN172" s="11">
        <f t="shared" si="48"/>
        <v>0.5973824924897283</v>
      </c>
      <c r="CO172" s="14">
        <v>48114</v>
      </c>
      <c r="CP172" s="11">
        <f t="shared" si="49"/>
        <v>0.4026175075102717</v>
      </c>
      <c r="CQ172" s="29">
        <v>7161</v>
      </c>
      <c r="CR172" s="29">
        <v>63462</v>
      </c>
      <c r="CS172" s="29">
        <v>31238</v>
      </c>
      <c r="CT172" s="29">
        <v>14425</v>
      </c>
      <c r="CU172" s="45">
        <v>21816</v>
      </c>
      <c r="CV172" s="45">
        <v>9806</v>
      </c>
      <c r="CW172" s="45">
        <v>8242</v>
      </c>
      <c r="CX172" s="45">
        <v>2310</v>
      </c>
      <c r="CY172" s="45">
        <v>1458</v>
      </c>
      <c r="CZ172" s="45">
        <v>170</v>
      </c>
      <c r="DA172" s="45">
        <v>170</v>
      </c>
      <c r="DB172" s="45">
        <v>148</v>
      </c>
      <c r="DC172" s="45">
        <v>130</v>
      </c>
    </row>
    <row r="173" spans="1:107" x14ac:dyDescent="0.35">
      <c r="A173" s="1" t="s">
        <v>1132</v>
      </c>
      <c r="B173" s="5" t="s">
        <v>0</v>
      </c>
      <c r="C173" s="3" t="s">
        <v>1163</v>
      </c>
      <c r="D173" s="4" t="s">
        <v>1164</v>
      </c>
      <c r="E173" s="27"/>
      <c r="F173" s="5">
        <v>22</v>
      </c>
      <c r="G173" s="2">
        <v>0.60307322540136921</v>
      </c>
      <c r="H173" s="2" t="s">
        <v>1276</v>
      </c>
      <c r="I173" s="8" t="s">
        <v>7</v>
      </c>
      <c r="J17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CHAN FOONG HIN </v>
      </c>
      <c r="K173" s="8">
        <v>0</v>
      </c>
      <c r="L173" s="8">
        <v>0</v>
      </c>
      <c r="M173" s="7">
        <v>0</v>
      </c>
      <c r="N173" s="8">
        <v>31359</v>
      </c>
      <c r="O173" s="8" t="s">
        <v>102</v>
      </c>
      <c r="P173" s="7" t="s">
        <v>1165</v>
      </c>
      <c r="Q173" s="8">
        <v>0</v>
      </c>
      <c r="R173" s="8">
        <v>0</v>
      </c>
      <c r="S173" s="7">
        <v>0</v>
      </c>
      <c r="T173" s="15">
        <v>23783</v>
      </c>
      <c r="U173" s="10">
        <v>0</v>
      </c>
      <c r="V173" s="10">
        <v>1</v>
      </c>
      <c r="W173" s="10">
        <v>0</v>
      </c>
      <c r="X173" s="10">
        <v>1237</v>
      </c>
      <c r="Y173" s="12" t="s">
        <v>319</v>
      </c>
      <c r="Z173" s="12" t="s">
        <v>1277</v>
      </c>
      <c r="AA173" s="13" t="s">
        <v>1166</v>
      </c>
      <c r="AB173" s="14">
        <v>24086</v>
      </c>
      <c r="AC173" s="15" t="s">
        <v>1167</v>
      </c>
      <c r="AD173" s="28">
        <v>17616</v>
      </c>
      <c r="AE173" s="14">
        <v>7546</v>
      </c>
      <c r="AF173" s="14"/>
      <c r="AG173" s="14">
        <v>31632</v>
      </c>
      <c r="AH173" s="14" t="s">
        <v>1147</v>
      </c>
      <c r="AI173" s="15" t="s">
        <v>321</v>
      </c>
      <c r="AJ173" s="14">
        <v>0</v>
      </c>
      <c r="AK173" s="14">
        <v>1</v>
      </c>
      <c r="AL173" s="14">
        <v>0</v>
      </c>
      <c r="AM173" s="51">
        <v>56220</v>
      </c>
      <c r="AN173" s="51">
        <v>2447</v>
      </c>
      <c r="AO173" s="51">
        <v>35867</v>
      </c>
      <c r="AP173" s="51">
        <v>609</v>
      </c>
      <c r="AQ173" s="51">
        <v>1569</v>
      </c>
      <c r="AR173" s="51">
        <v>15489</v>
      </c>
      <c r="AS173" s="51">
        <v>237</v>
      </c>
      <c r="AT173" s="51">
        <v>2</v>
      </c>
      <c r="AU173" s="51">
        <v>27774</v>
      </c>
      <c r="AV173" s="51">
        <v>28446</v>
      </c>
      <c r="AW173" s="51">
        <v>16336</v>
      </c>
      <c r="AX173" s="51">
        <v>39884</v>
      </c>
      <c r="AY173" s="14">
        <v>8507.6666666666661</v>
      </c>
      <c r="AZ173" s="14">
        <v>74059</v>
      </c>
      <c r="BA173" s="14">
        <v>14</v>
      </c>
      <c r="BB173" s="14">
        <v>342</v>
      </c>
      <c r="BC173" s="14">
        <v>73703</v>
      </c>
      <c r="BD173" s="14">
        <v>14036</v>
      </c>
      <c r="BE173" s="11">
        <v>0.18952456824963881</v>
      </c>
      <c r="BF173" s="14">
        <v>44947</v>
      </c>
      <c r="BG173" s="11">
        <v>0.60690800577917603</v>
      </c>
      <c r="BH173" s="14">
        <v>13501</v>
      </c>
      <c r="BI173" s="11">
        <v>0.18230059817172795</v>
      </c>
      <c r="BJ173" s="14">
        <v>0</v>
      </c>
      <c r="BK173" s="14">
        <v>0</v>
      </c>
      <c r="BL173" s="14">
        <v>0</v>
      </c>
      <c r="BM173" s="14">
        <v>1575</v>
      </c>
      <c r="BN173" s="14">
        <v>1575</v>
      </c>
      <c r="BO173" s="11">
        <f>Table14[[#This Row],[Base_Stock_GE15]]/Table14[[#This Row],[All_Voters_GE15]]</f>
        <v>1.670289903995463E-2</v>
      </c>
      <c r="BP173" s="14">
        <v>3</v>
      </c>
      <c r="BQ173" s="10">
        <v>17867</v>
      </c>
      <c r="BR173" s="44">
        <v>7036</v>
      </c>
      <c r="BS173" s="10">
        <v>2255</v>
      </c>
      <c r="BT173" s="10">
        <v>25795</v>
      </c>
      <c r="BU173" s="10">
        <v>25671</v>
      </c>
      <c r="BV173" s="10">
        <v>20338</v>
      </c>
      <c r="BW173" s="10">
        <f t="shared" si="45"/>
        <v>28050</v>
      </c>
      <c r="BX173" s="10">
        <f t="shared" si="46"/>
        <v>46009</v>
      </c>
      <c r="BY173" s="14">
        <v>72097</v>
      </c>
      <c r="BZ173" s="14">
        <v>0</v>
      </c>
      <c r="CA173" s="14">
        <v>186</v>
      </c>
      <c r="CB173" s="14">
        <v>71911</v>
      </c>
      <c r="CC173" s="14">
        <v>13334</v>
      </c>
      <c r="CD173" s="14">
        <v>43748</v>
      </c>
      <c r="CE173" s="14">
        <v>13604</v>
      </c>
      <c r="CF173" s="14">
        <v>0</v>
      </c>
      <c r="CG173" s="14">
        <v>0</v>
      </c>
      <c r="CH173" s="14">
        <v>0</v>
      </c>
      <c r="CI173" s="14">
        <v>1411</v>
      </c>
      <c r="CJ173" s="14">
        <f t="shared" si="47"/>
        <v>1411</v>
      </c>
      <c r="CK173" s="14">
        <v>35070</v>
      </c>
      <c r="CL173" s="14">
        <v>37027</v>
      </c>
      <c r="CM173" s="14">
        <v>24563</v>
      </c>
      <c r="CN173" s="11">
        <f t="shared" si="48"/>
        <v>0.34069378753623591</v>
      </c>
      <c r="CO173" s="14">
        <v>47534</v>
      </c>
      <c r="CP173" s="11">
        <f t="shared" si="49"/>
        <v>0.65930621246376409</v>
      </c>
      <c r="CQ173" s="29">
        <v>1734</v>
      </c>
      <c r="CR173" s="29">
        <v>23705</v>
      </c>
      <c r="CS173" s="29">
        <v>25207</v>
      </c>
      <c r="CT173" s="29">
        <v>21961</v>
      </c>
      <c r="CU173" s="45">
        <v>15246</v>
      </c>
      <c r="CV173" s="45">
        <v>6306</v>
      </c>
      <c r="CW173" s="45">
        <v>5883</v>
      </c>
      <c r="CX173" s="45">
        <v>1892</v>
      </c>
      <c r="CY173" s="45">
        <v>1165</v>
      </c>
      <c r="CZ173" s="45">
        <v>100</v>
      </c>
      <c r="DA173" s="45">
        <v>100</v>
      </c>
      <c r="DB173" s="45">
        <v>98</v>
      </c>
      <c r="DC173" s="45">
        <v>95</v>
      </c>
    </row>
    <row r="174" spans="1:107" x14ac:dyDescent="0.35">
      <c r="A174" s="1" t="s">
        <v>1132</v>
      </c>
      <c r="B174" s="5" t="s">
        <v>0</v>
      </c>
      <c r="C174" s="3" t="s">
        <v>1168</v>
      </c>
      <c r="D174" s="4" t="s">
        <v>1169</v>
      </c>
      <c r="E174" s="27"/>
      <c r="F174" s="5">
        <v>17</v>
      </c>
      <c r="G174" s="2">
        <v>0.66833932217877889</v>
      </c>
      <c r="H174" s="2" t="s">
        <v>1276</v>
      </c>
      <c r="I174" s="8" t="s">
        <v>6</v>
      </c>
      <c r="J17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SHAHELMY BIN YAHYA </v>
      </c>
      <c r="K174" s="8">
        <v>16234</v>
      </c>
      <c r="L174" s="8" t="s">
        <v>8</v>
      </c>
      <c r="M174" s="7" t="s">
        <v>1170</v>
      </c>
      <c r="N174" s="8">
        <v>16110</v>
      </c>
      <c r="O174" s="8" t="s">
        <v>23</v>
      </c>
      <c r="P174" s="7" t="s">
        <v>1171</v>
      </c>
      <c r="Q174" s="8">
        <v>0</v>
      </c>
      <c r="R174" s="8">
        <v>0</v>
      </c>
      <c r="S174" s="7">
        <v>0</v>
      </c>
      <c r="T174" s="15">
        <v>124</v>
      </c>
      <c r="U174" s="10">
        <v>1</v>
      </c>
      <c r="V174" s="10">
        <v>0</v>
      </c>
      <c r="W174" s="10">
        <v>0</v>
      </c>
      <c r="X174" s="10">
        <v>21992</v>
      </c>
      <c r="Y174" s="12" t="s">
        <v>26</v>
      </c>
      <c r="Z174" s="12" t="s">
        <v>1277</v>
      </c>
      <c r="AA174" s="13" t="s">
        <v>1172</v>
      </c>
      <c r="AB174" s="14">
        <v>2339</v>
      </c>
      <c r="AC174" s="15" t="s">
        <v>511</v>
      </c>
      <c r="AD174" s="28">
        <v>16908</v>
      </c>
      <c r="AE174" s="14">
        <v>11767</v>
      </c>
      <c r="AF174" s="14">
        <v>2434</v>
      </c>
      <c r="AG174" s="14">
        <v>14106</v>
      </c>
      <c r="AH174" s="14" t="s">
        <v>1157</v>
      </c>
      <c r="AI174" s="15" t="s">
        <v>29</v>
      </c>
      <c r="AJ174" s="14">
        <v>0</v>
      </c>
      <c r="AK174" s="14">
        <v>0</v>
      </c>
      <c r="AL174" s="14">
        <v>0</v>
      </c>
      <c r="AM174" s="51">
        <v>41312</v>
      </c>
      <c r="AN174" s="51">
        <v>7634</v>
      </c>
      <c r="AO174" s="51">
        <v>6646</v>
      </c>
      <c r="AP174" s="51">
        <v>509</v>
      </c>
      <c r="AQ174" s="51">
        <v>1963</v>
      </c>
      <c r="AR174" s="51">
        <v>24117</v>
      </c>
      <c r="AS174" s="51">
        <v>433</v>
      </c>
      <c r="AT174" s="51">
        <v>10</v>
      </c>
      <c r="AU174" s="51">
        <v>21466</v>
      </c>
      <c r="AV174" s="51">
        <v>19846</v>
      </c>
      <c r="AW174" s="51">
        <v>17078</v>
      </c>
      <c r="AX174" s="51">
        <v>24234</v>
      </c>
      <c r="AY174" s="14">
        <v>14323</v>
      </c>
      <c r="AZ174" s="14">
        <v>63173</v>
      </c>
      <c r="BA174" s="14">
        <v>5</v>
      </c>
      <c r="BB174" s="14">
        <v>3010</v>
      </c>
      <c r="BC174" s="14">
        <v>60158</v>
      </c>
      <c r="BD174" s="14">
        <v>45126</v>
      </c>
      <c r="BE174" s="11">
        <v>0.71432415747233791</v>
      </c>
      <c r="BF174" s="14">
        <v>7436</v>
      </c>
      <c r="BG174" s="11">
        <v>0.11770851471356433</v>
      </c>
      <c r="BH174" s="14">
        <v>9034</v>
      </c>
      <c r="BI174" s="11">
        <v>0.14300413151188007</v>
      </c>
      <c r="BJ174" s="14">
        <v>0</v>
      </c>
      <c r="BK174" s="14">
        <v>0</v>
      </c>
      <c r="BL174" s="14">
        <v>0</v>
      </c>
      <c r="BM174" s="14">
        <v>1577</v>
      </c>
      <c r="BN174" s="14">
        <v>1577</v>
      </c>
      <c r="BO174" s="11">
        <f>Table14[[#This Row],[Base_Stock_GE15]]/Table14[[#This Row],[All_Voters_GE15]]</f>
        <v>0.34812340715178952</v>
      </c>
      <c r="BP174" s="14">
        <v>16967</v>
      </c>
      <c r="BQ174" s="10">
        <v>22442</v>
      </c>
      <c r="BR174" s="44">
        <v>11908</v>
      </c>
      <c r="BS174" s="10">
        <v>3856</v>
      </c>
      <c r="BT174" s="10">
        <v>31443</v>
      </c>
      <c r="BU174" s="10">
        <v>18105</v>
      </c>
      <c r="BV174" s="10">
        <v>9769</v>
      </c>
      <c r="BW174" s="10">
        <f t="shared" si="45"/>
        <v>35299</v>
      </c>
      <c r="BX174" s="10">
        <f t="shared" si="46"/>
        <v>27874</v>
      </c>
      <c r="BY174" s="14">
        <v>67896</v>
      </c>
      <c r="BZ174" s="14">
        <v>0</v>
      </c>
      <c r="CA174" s="14">
        <v>3118</v>
      </c>
      <c r="CB174" s="14">
        <v>64778</v>
      </c>
      <c r="CC174" s="14">
        <v>50367</v>
      </c>
      <c r="CD174" s="14">
        <v>7109</v>
      </c>
      <c r="CE174" s="14">
        <v>9026</v>
      </c>
      <c r="CF174" s="14">
        <v>0</v>
      </c>
      <c r="CG174" s="14">
        <v>0</v>
      </c>
      <c r="CH174" s="14">
        <v>0</v>
      </c>
      <c r="CI174" s="14">
        <v>1394</v>
      </c>
      <c r="CJ174" s="14">
        <f t="shared" si="47"/>
        <v>1394</v>
      </c>
      <c r="CK174" s="14">
        <v>35053</v>
      </c>
      <c r="CL174" s="14">
        <v>32843</v>
      </c>
      <c r="CM174" s="14">
        <v>36124</v>
      </c>
      <c r="CN174" s="11">
        <f t="shared" si="48"/>
        <v>0.53204901614233535</v>
      </c>
      <c r="CO174" s="14">
        <v>31772</v>
      </c>
      <c r="CP174" s="11">
        <f t="shared" si="49"/>
        <v>0.46795098385766465</v>
      </c>
      <c r="CQ174" s="29">
        <v>3271</v>
      </c>
      <c r="CR174" s="29">
        <v>32706</v>
      </c>
      <c r="CS174" s="29">
        <v>19636</v>
      </c>
      <c r="CT174" s="29">
        <v>11213</v>
      </c>
      <c r="CU174" s="45">
        <v>20480</v>
      </c>
      <c r="CV174" s="45">
        <v>9368</v>
      </c>
      <c r="CW174" s="45">
        <v>8335</v>
      </c>
      <c r="CX174" s="45">
        <v>1723</v>
      </c>
      <c r="CY174" s="45">
        <v>1054</v>
      </c>
      <c r="CZ174" s="45">
        <v>166</v>
      </c>
      <c r="DA174" s="45">
        <v>161</v>
      </c>
      <c r="DB174" s="45">
        <v>127</v>
      </c>
      <c r="DC174" s="45">
        <v>106</v>
      </c>
    </row>
    <row r="175" spans="1:107" x14ac:dyDescent="0.35">
      <c r="A175" s="1" t="s">
        <v>1132</v>
      </c>
      <c r="B175" s="5" t="s">
        <v>0</v>
      </c>
      <c r="C175" s="3" t="s">
        <v>1173</v>
      </c>
      <c r="D175" s="4" t="s">
        <v>1174</v>
      </c>
      <c r="E175" s="27"/>
      <c r="F175" s="5">
        <v>20</v>
      </c>
      <c r="G175" s="2">
        <v>0.66440023829875416</v>
      </c>
      <c r="H175" s="2" t="s">
        <v>1276</v>
      </c>
      <c r="I175" s="8" t="s">
        <v>7</v>
      </c>
      <c r="J17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EWON BENEDICK </v>
      </c>
      <c r="K175" s="8">
        <v>0</v>
      </c>
      <c r="L175" s="8">
        <v>0</v>
      </c>
      <c r="M175" s="7">
        <v>0</v>
      </c>
      <c r="N175" s="8">
        <v>29066</v>
      </c>
      <c r="O175" s="8" t="s">
        <v>1176</v>
      </c>
      <c r="P175" s="7" t="s">
        <v>1175</v>
      </c>
      <c r="Q175" s="8">
        <v>0</v>
      </c>
      <c r="R175" s="8">
        <v>0</v>
      </c>
      <c r="S175" s="7">
        <v>0</v>
      </c>
      <c r="T175" s="15">
        <v>14410</v>
      </c>
      <c r="U175" s="10">
        <v>0</v>
      </c>
      <c r="V175" s="10">
        <v>1</v>
      </c>
      <c r="W175" s="10">
        <v>0</v>
      </c>
      <c r="X175" s="10">
        <v>5564</v>
      </c>
      <c r="Y175" s="12" t="s">
        <v>1131</v>
      </c>
      <c r="Z175" s="12" t="s">
        <v>1277</v>
      </c>
      <c r="AA175" s="13" t="s">
        <v>1177</v>
      </c>
      <c r="AB175" s="14">
        <v>23473</v>
      </c>
      <c r="AC175" s="15" t="s">
        <v>648</v>
      </c>
      <c r="AD175" s="28">
        <v>9897</v>
      </c>
      <c r="AE175" s="14">
        <v>8997</v>
      </c>
      <c r="AF175" s="14"/>
      <c r="AG175" s="14">
        <v>32470</v>
      </c>
      <c r="AH175" s="14" t="s">
        <v>1157</v>
      </c>
      <c r="AI175" s="15" t="s">
        <v>1131</v>
      </c>
      <c r="AJ175" s="14">
        <v>0</v>
      </c>
      <c r="AK175" s="14">
        <v>0</v>
      </c>
      <c r="AL175" s="14">
        <v>0</v>
      </c>
      <c r="AM175" s="51">
        <v>53131</v>
      </c>
      <c r="AN175" s="51">
        <v>2445</v>
      </c>
      <c r="AO175" s="51">
        <v>17797</v>
      </c>
      <c r="AP175" s="51">
        <v>446</v>
      </c>
      <c r="AQ175" s="51">
        <v>755</v>
      </c>
      <c r="AR175" s="51">
        <v>31319</v>
      </c>
      <c r="AS175" s="51">
        <v>367</v>
      </c>
      <c r="AT175" s="51">
        <v>2</v>
      </c>
      <c r="AU175" s="51">
        <v>26585</v>
      </c>
      <c r="AV175" s="51">
        <v>26546</v>
      </c>
      <c r="AW175" s="51">
        <v>21404</v>
      </c>
      <c r="AX175" s="51">
        <v>31727</v>
      </c>
      <c r="AY175" s="14">
        <v>11593</v>
      </c>
      <c r="AZ175" s="14">
        <v>77214</v>
      </c>
      <c r="BA175" s="14">
        <v>7</v>
      </c>
      <c r="BB175" s="14">
        <v>2614</v>
      </c>
      <c r="BC175" s="14">
        <v>74593</v>
      </c>
      <c r="BD175" s="14">
        <v>11749</v>
      </c>
      <c r="BE175" s="11">
        <v>0.15216152511202632</v>
      </c>
      <c r="BF175" s="14">
        <v>20685</v>
      </c>
      <c r="BG175" s="11">
        <v>0.26789183308726394</v>
      </c>
      <c r="BH175" s="14">
        <v>43095</v>
      </c>
      <c r="BI175" s="11">
        <v>0.55812417437252315</v>
      </c>
      <c r="BJ175" s="14">
        <v>0</v>
      </c>
      <c r="BK175" s="14">
        <v>0</v>
      </c>
      <c r="BL175" s="14">
        <v>0</v>
      </c>
      <c r="BM175" s="14">
        <v>1685</v>
      </c>
      <c r="BN175" s="14">
        <v>1685</v>
      </c>
      <c r="BO175" s="11">
        <f>Table14[[#This Row],[Base_Stock_GE15]]/Table14[[#This Row],[All_Voters_GE15]]</f>
        <v>7.2059471080374027E-2</v>
      </c>
      <c r="BP175" s="14">
        <v>209</v>
      </c>
      <c r="BQ175" s="10">
        <v>28565</v>
      </c>
      <c r="BR175" s="44">
        <v>14168</v>
      </c>
      <c r="BS175" s="10">
        <v>4817</v>
      </c>
      <c r="BT175" s="10">
        <v>37179</v>
      </c>
      <c r="BU175" s="10">
        <v>24327</v>
      </c>
      <c r="BV175" s="10">
        <v>10891</v>
      </c>
      <c r="BW175" s="10">
        <f t="shared" ref="BW175:BW192" si="50">BS175+BT175</f>
        <v>41996</v>
      </c>
      <c r="BX175" s="10">
        <f t="shared" ref="BX175:BX192" si="51">BU175+BV175</f>
        <v>35218</v>
      </c>
      <c r="BY175" s="14">
        <v>81441</v>
      </c>
      <c r="BZ175" s="14">
        <v>0</v>
      </c>
      <c r="CA175" s="14">
        <v>2748</v>
      </c>
      <c r="CB175" s="14">
        <v>78693</v>
      </c>
      <c r="CC175" s="14">
        <v>13564</v>
      </c>
      <c r="CD175" s="14">
        <v>21436</v>
      </c>
      <c r="CE175" s="14">
        <v>45207</v>
      </c>
      <c r="CF175" s="14">
        <v>0</v>
      </c>
      <c r="CG175" s="14">
        <v>0</v>
      </c>
      <c r="CH175" s="14">
        <v>0</v>
      </c>
      <c r="CI175" s="14">
        <v>1234</v>
      </c>
      <c r="CJ175" s="14">
        <f t="shared" ref="CJ175:CJ192" si="52">SUM(CF175:CI175)</f>
        <v>1234</v>
      </c>
      <c r="CK175" s="14">
        <v>41299</v>
      </c>
      <c r="CL175" s="14">
        <v>40142</v>
      </c>
      <c r="CM175" s="14">
        <v>40979</v>
      </c>
      <c r="CN175" s="11">
        <f t="shared" ref="CN175:CN192" si="53">CM175/$BY175</f>
        <v>0.50317407693913385</v>
      </c>
      <c r="CO175" s="14">
        <v>40462</v>
      </c>
      <c r="CP175" s="11">
        <f t="shared" ref="CP175:CP192" si="54">CO175/$BY175</f>
        <v>0.49682592306086615</v>
      </c>
      <c r="CQ175" s="29">
        <v>4063</v>
      </c>
      <c r="CR175" s="29">
        <v>37182</v>
      </c>
      <c r="CS175" s="29">
        <v>26186</v>
      </c>
      <c r="CT175" s="29">
        <v>12728</v>
      </c>
      <c r="CU175" s="45">
        <v>8232</v>
      </c>
      <c r="CV175" s="45">
        <v>3727</v>
      </c>
      <c r="CW175" s="45">
        <v>3287</v>
      </c>
      <c r="CX175" s="45">
        <v>792</v>
      </c>
      <c r="CY175" s="45">
        <v>426</v>
      </c>
      <c r="CZ175" s="45">
        <v>70</v>
      </c>
      <c r="DA175" s="45">
        <v>70</v>
      </c>
      <c r="DB175" s="45">
        <v>61</v>
      </c>
      <c r="DC175" s="45">
        <v>34</v>
      </c>
    </row>
    <row r="176" spans="1:107" x14ac:dyDescent="0.35">
      <c r="A176" s="1" t="s">
        <v>1132</v>
      </c>
      <c r="B176" s="5" t="s">
        <v>0</v>
      </c>
      <c r="C176" s="3" t="s">
        <v>1178</v>
      </c>
      <c r="D176" s="4" t="s">
        <v>1179</v>
      </c>
      <c r="E176" s="27"/>
      <c r="F176" s="5">
        <v>20</v>
      </c>
      <c r="G176" s="2">
        <v>0.73896433218778157</v>
      </c>
      <c r="H176" s="2" t="s">
        <v>1276</v>
      </c>
      <c r="I176" s="8" t="s">
        <v>1135</v>
      </c>
      <c r="J176" s="7" t="s">
        <v>1371</v>
      </c>
      <c r="K176" s="8">
        <v>0</v>
      </c>
      <c r="L176" s="8">
        <v>0</v>
      </c>
      <c r="M176" s="7">
        <v>0</v>
      </c>
      <c r="N176" s="8">
        <v>9144</v>
      </c>
      <c r="O176" s="8" t="s">
        <v>102</v>
      </c>
      <c r="P176" s="7" t="s">
        <v>1180</v>
      </c>
      <c r="Q176" s="8">
        <v>0</v>
      </c>
      <c r="R176" s="8">
        <v>0</v>
      </c>
      <c r="S176" s="7">
        <v>0</v>
      </c>
      <c r="T176" s="15">
        <v>12822</v>
      </c>
      <c r="U176" s="10">
        <v>0</v>
      </c>
      <c r="V176" s="10">
        <v>0</v>
      </c>
      <c r="W176" s="10">
        <v>0</v>
      </c>
      <c r="X176" s="10">
        <v>22545</v>
      </c>
      <c r="Y176" s="12" t="s">
        <v>1131</v>
      </c>
      <c r="Z176" s="12" t="s">
        <v>1277</v>
      </c>
      <c r="AA176" s="13" t="s">
        <v>1181</v>
      </c>
      <c r="AB176" s="14">
        <v>325</v>
      </c>
      <c r="AC176" s="15" t="s">
        <v>746</v>
      </c>
      <c r="AD176" s="28">
        <v>30955</v>
      </c>
      <c r="AE176" s="14">
        <v>17130</v>
      </c>
      <c r="AF176" s="14"/>
      <c r="AG176" s="14">
        <v>17315</v>
      </c>
      <c r="AH176" s="14" t="s">
        <v>17</v>
      </c>
      <c r="AI176" s="15" t="s">
        <v>1131</v>
      </c>
      <c r="AJ176" s="14">
        <v>0</v>
      </c>
      <c r="AK176" s="14">
        <v>0</v>
      </c>
      <c r="AL176" s="14">
        <v>0</v>
      </c>
      <c r="AM176" s="51">
        <v>43586</v>
      </c>
      <c r="AN176" s="51">
        <v>3617</v>
      </c>
      <c r="AO176" s="51">
        <v>3394</v>
      </c>
      <c r="AP176" s="51">
        <v>380</v>
      </c>
      <c r="AQ176" s="51">
        <v>1050</v>
      </c>
      <c r="AR176" s="51">
        <v>34889</v>
      </c>
      <c r="AS176" s="51">
        <v>255</v>
      </c>
      <c r="AT176" s="51">
        <v>1</v>
      </c>
      <c r="AU176" s="51">
        <v>21510</v>
      </c>
      <c r="AV176" s="51">
        <v>22076</v>
      </c>
      <c r="AW176" s="51">
        <v>17494</v>
      </c>
      <c r="AX176" s="51">
        <v>26092</v>
      </c>
      <c r="AY176" s="14">
        <v>17892.666666666668</v>
      </c>
      <c r="AZ176" s="14">
        <v>59942</v>
      </c>
      <c r="BA176" s="14">
        <v>3</v>
      </c>
      <c r="BB176" s="14">
        <v>825</v>
      </c>
      <c r="BC176" s="14">
        <v>59114</v>
      </c>
      <c r="BD176" s="14">
        <v>38660</v>
      </c>
      <c r="BE176" s="11">
        <v>0.64495679156517971</v>
      </c>
      <c r="BF176" s="14">
        <v>3777</v>
      </c>
      <c r="BG176" s="11">
        <v>6.3010910546861962E-2</v>
      </c>
      <c r="BH176" s="14">
        <v>16583</v>
      </c>
      <c r="BI176" s="11">
        <v>0.27665076240365688</v>
      </c>
      <c r="BJ176" s="14">
        <v>0</v>
      </c>
      <c r="BK176" s="14">
        <v>0</v>
      </c>
      <c r="BL176" s="14">
        <v>0</v>
      </c>
      <c r="BM176" s="14">
        <v>922</v>
      </c>
      <c r="BN176" s="14">
        <v>922</v>
      </c>
      <c r="BO176" s="11">
        <f>Table14[[#This Row],[Base_Stock_GE15]]/Table14[[#This Row],[All_Voters_GE15]]</f>
        <v>0.37611357645724203</v>
      </c>
      <c r="BP176" s="14">
        <v>18</v>
      </c>
      <c r="BQ176" s="10">
        <v>19098</v>
      </c>
      <c r="BR176" s="44">
        <v>11830</v>
      </c>
      <c r="BS176" s="10">
        <v>4106</v>
      </c>
      <c r="BT176" s="10">
        <v>27691</v>
      </c>
      <c r="BU176" s="10">
        <v>19245</v>
      </c>
      <c r="BV176" s="10">
        <v>8900</v>
      </c>
      <c r="BW176" s="10">
        <f t="shared" si="50"/>
        <v>31797</v>
      </c>
      <c r="BX176" s="10">
        <f t="shared" si="51"/>
        <v>28145</v>
      </c>
      <c r="BY176" s="14">
        <v>64933</v>
      </c>
      <c r="BZ176" s="14">
        <v>0</v>
      </c>
      <c r="CA176" s="14">
        <v>946</v>
      </c>
      <c r="CB176" s="14">
        <v>63987</v>
      </c>
      <c r="CC176" s="14">
        <v>43291</v>
      </c>
      <c r="CD176" s="14">
        <v>3756</v>
      </c>
      <c r="CE176" s="14">
        <v>17194</v>
      </c>
      <c r="CF176" s="14">
        <v>0</v>
      </c>
      <c r="CG176" s="14">
        <v>0</v>
      </c>
      <c r="CH176" s="14">
        <v>0</v>
      </c>
      <c r="CI176" s="14">
        <v>692</v>
      </c>
      <c r="CJ176" s="14">
        <f t="shared" si="52"/>
        <v>692</v>
      </c>
      <c r="CK176" s="14">
        <v>32385</v>
      </c>
      <c r="CL176" s="14">
        <v>32548</v>
      </c>
      <c r="CM176" s="14">
        <v>32895</v>
      </c>
      <c r="CN176" s="11">
        <f t="shared" si="53"/>
        <v>0.50659910985169332</v>
      </c>
      <c r="CO176" s="14">
        <v>32038</v>
      </c>
      <c r="CP176" s="11">
        <f t="shared" si="54"/>
        <v>0.49340089014830674</v>
      </c>
      <c r="CQ176" s="29">
        <v>3577</v>
      </c>
      <c r="CR176" s="29">
        <v>28824</v>
      </c>
      <c r="CS176" s="29">
        <v>20471</v>
      </c>
      <c r="CT176" s="29">
        <v>10351</v>
      </c>
      <c r="CU176" s="45">
        <v>22163</v>
      </c>
      <c r="CV176" s="45">
        <v>7763</v>
      </c>
      <c r="CW176" s="45">
        <v>9040</v>
      </c>
      <c r="CX176" s="45">
        <v>3452</v>
      </c>
      <c r="CY176" s="45">
        <v>1908</v>
      </c>
      <c r="CZ176" s="45">
        <v>265</v>
      </c>
      <c r="DA176" s="45">
        <v>262</v>
      </c>
      <c r="DB176" s="45">
        <v>223</v>
      </c>
      <c r="DC176" s="45">
        <v>210</v>
      </c>
    </row>
    <row r="177" spans="1:107" x14ac:dyDescent="0.35">
      <c r="A177" s="1" t="s">
        <v>1132</v>
      </c>
      <c r="B177" s="5" t="s">
        <v>0</v>
      </c>
      <c r="C177" s="3" t="s">
        <v>1182</v>
      </c>
      <c r="D177" s="4" t="s">
        <v>1183</v>
      </c>
      <c r="E177" s="27"/>
      <c r="F177" s="5">
        <v>19</v>
      </c>
      <c r="G177" s="2">
        <v>0.77253882197090495</v>
      </c>
      <c r="H177" s="2" t="s">
        <v>1276</v>
      </c>
      <c r="I177" s="8" t="s">
        <v>6</v>
      </c>
      <c r="J17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MOHAMAD ALAMIN </v>
      </c>
      <c r="K177" s="8">
        <v>13004</v>
      </c>
      <c r="L177" s="8" t="s">
        <v>8</v>
      </c>
      <c r="M177" s="7" t="s">
        <v>1184</v>
      </c>
      <c r="N177" s="8">
        <v>3931</v>
      </c>
      <c r="O177" s="8" t="s">
        <v>1176</v>
      </c>
      <c r="P177" s="7" t="s">
        <v>1185</v>
      </c>
      <c r="Q177" s="8">
        <v>0</v>
      </c>
      <c r="R177" s="8">
        <v>0</v>
      </c>
      <c r="S177" s="7">
        <v>0</v>
      </c>
      <c r="T177" s="15">
        <v>3037</v>
      </c>
      <c r="U177" s="10">
        <v>1</v>
      </c>
      <c r="V177" s="10">
        <v>0</v>
      </c>
      <c r="W177" s="10">
        <v>0</v>
      </c>
      <c r="X177" s="10">
        <v>31744</v>
      </c>
      <c r="Y177" s="12" t="s">
        <v>14</v>
      </c>
      <c r="Z177" s="12" t="s">
        <v>1277</v>
      </c>
      <c r="AA177" s="13" t="s">
        <v>1186</v>
      </c>
      <c r="AB177" s="14">
        <v>156</v>
      </c>
      <c r="AC177" s="15" t="s">
        <v>1187</v>
      </c>
      <c r="AD177" s="28">
        <v>18716</v>
      </c>
      <c r="AE177" s="14">
        <v>11942</v>
      </c>
      <c r="AF177" s="14"/>
      <c r="AG177" s="14">
        <v>11786</v>
      </c>
      <c r="AH177" s="14" t="s">
        <v>17</v>
      </c>
      <c r="AI177" s="15" t="s">
        <v>1131</v>
      </c>
      <c r="AJ177" s="14">
        <v>1</v>
      </c>
      <c r="AK177" s="14">
        <v>0</v>
      </c>
      <c r="AL177" s="14">
        <v>0</v>
      </c>
      <c r="AM177" s="51">
        <v>29618</v>
      </c>
      <c r="AN177" s="51">
        <v>2766</v>
      </c>
      <c r="AO177" s="51">
        <v>1080</v>
      </c>
      <c r="AP177" s="51">
        <v>131</v>
      </c>
      <c r="AQ177" s="51">
        <v>622</v>
      </c>
      <c r="AR177" s="51">
        <v>24870</v>
      </c>
      <c r="AS177" s="51">
        <v>149</v>
      </c>
      <c r="AT177" s="51">
        <v>0</v>
      </c>
      <c r="AU177" s="51">
        <v>14810</v>
      </c>
      <c r="AV177" s="51">
        <v>14808</v>
      </c>
      <c r="AW177" s="51">
        <v>11842</v>
      </c>
      <c r="AX177" s="51">
        <v>17776</v>
      </c>
      <c r="AY177" s="14">
        <v>11979.333333333334</v>
      </c>
      <c r="AZ177" s="14">
        <v>40763</v>
      </c>
      <c r="BA177" s="14">
        <v>1</v>
      </c>
      <c r="BB177" s="14">
        <v>19</v>
      </c>
      <c r="BC177" s="14">
        <v>40743</v>
      </c>
      <c r="BD177" s="14">
        <v>26172</v>
      </c>
      <c r="BE177" s="11">
        <v>0.64205284203812285</v>
      </c>
      <c r="BF177" s="14">
        <v>1197</v>
      </c>
      <c r="BG177" s="11">
        <v>2.936486519637907E-2</v>
      </c>
      <c r="BH177" s="14">
        <v>13001</v>
      </c>
      <c r="BI177" s="11">
        <v>0.31894119667345389</v>
      </c>
      <c r="BJ177" s="14">
        <v>0</v>
      </c>
      <c r="BK177" s="14">
        <v>0</v>
      </c>
      <c r="BL177" s="14">
        <v>0</v>
      </c>
      <c r="BM177" s="14">
        <v>393</v>
      </c>
      <c r="BN177" s="14">
        <v>393</v>
      </c>
      <c r="BO177" s="11">
        <f>Table14[[#This Row],[Base_Stock_GE15]]/Table14[[#This Row],[All_Voters_GE15]]</f>
        <v>0.77874543090547799</v>
      </c>
      <c r="BP177" s="14">
        <v>23797</v>
      </c>
      <c r="BQ177" s="10">
        <v>11582</v>
      </c>
      <c r="BR177" s="44">
        <v>6907</v>
      </c>
      <c r="BS177" s="10">
        <v>2301</v>
      </c>
      <c r="BT177" s="10">
        <v>18670</v>
      </c>
      <c r="BU177" s="10">
        <v>13622</v>
      </c>
      <c r="BV177" s="10">
        <v>6170</v>
      </c>
      <c r="BW177" s="10">
        <f t="shared" si="50"/>
        <v>20971</v>
      </c>
      <c r="BX177" s="10">
        <f t="shared" si="51"/>
        <v>19792</v>
      </c>
      <c r="BY177" s="14">
        <v>42926</v>
      </c>
      <c r="BZ177" s="14">
        <v>0</v>
      </c>
      <c r="CA177" s="14">
        <v>20</v>
      </c>
      <c r="CB177" s="14">
        <v>42906</v>
      </c>
      <c r="CC177" s="14">
        <v>28587</v>
      </c>
      <c r="CD177" s="14">
        <v>1151</v>
      </c>
      <c r="CE177" s="14">
        <v>12934</v>
      </c>
      <c r="CF177" s="14">
        <v>0</v>
      </c>
      <c r="CG177" s="14">
        <v>0</v>
      </c>
      <c r="CH177" s="14">
        <v>0</v>
      </c>
      <c r="CI177" s="14">
        <v>254</v>
      </c>
      <c r="CJ177" s="14">
        <f t="shared" si="52"/>
        <v>254</v>
      </c>
      <c r="CK177" s="14">
        <v>21518</v>
      </c>
      <c r="CL177" s="14">
        <v>21408</v>
      </c>
      <c r="CM177" s="14">
        <v>20644</v>
      </c>
      <c r="CN177" s="11">
        <f t="shared" si="53"/>
        <v>0.48092065414900059</v>
      </c>
      <c r="CO177" s="14">
        <v>22282</v>
      </c>
      <c r="CP177" s="11">
        <f t="shared" si="54"/>
        <v>0.51907934585099935</v>
      </c>
      <c r="CQ177" s="29">
        <v>1967</v>
      </c>
      <c r="CR177" s="29">
        <v>18640</v>
      </c>
      <c r="CS177" s="29">
        <v>14480</v>
      </c>
      <c r="CT177" s="29">
        <v>7112</v>
      </c>
      <c r="CU177" s="45">
        <v>20286</v>
      </c>
      <c r="CV177" s="45">
        <v>8467</v>
      </c>
      <c r="CW177" s="45">
        <v>8707</v>
      </c>
      <c r="CX177" s="45">
        <v>1878</v>
      </c>
      <c r="CY177" s="45">
        <v>1234</v>
      </c>
      <c r="CZ177" s="45">
        <v>262</v>
      </c>
      <c r="DA177" s="45">
        <v>262</v>
      </c>
      <c r="DB177" s="45">
        <v>205</v>
      </c>
      <c r="DC177" s="45">
        <v>179</v>
      </c>
    </row>
    <row r="178" spans="1:107" x14ac:dyDescent="0.35">
      <c r="A178" s="1" t="s">
        <v>1132</v>
      </c>
      <c r="B178" s="5" t="s">
        <v>0</v>
      </c>
      <c r="C178" s="3" t="s">
        <v>1188</v>
      </c>
      <c r="D178" s="4" t="s">
        <v>1189</v>
      </c>
      <c r="E178" s="27"/>
      <c r="F178" s="5">
        <v>24</v>
      </c>
      <c r="G178" s="2">
        <v>0.69191638919718834</v>
      </c>
      <c r="H178" s="2" t="s">
        <v>1276</v>
      </c>
      <c r="I178" s="8" t="s">
        <v>6</v>
      </c>
      <c r="J17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SITI AMINAH BINTI ACHING </v>
      </c>
      <c r="K178" s="8">
        <v>10570</v>
      </c>
      <c r="L178" s="8" t="s">
        <v>8</v>
      </c>
      <c r="M178" s="7" t="s">
        <v>1190</v>
      </c>
      <c r="N178" s="8">
        <v>7835</v>
      </c>
      <c r="O178" s="8" t="s">
        <v>23</v>
      </c>
      <c r="P178" s="7" t="s">
        <v>1191</v>
      </c>
      <c r="Q178" s="8">
        <v>0</v>
      </c>
      <c r="R178" s="8">
        <v>0</v>
      </c>
      <c r="S178" s="7">
        <v>0</v>
      </c>
      <c r="T178" s="15">
        <v>2518</v>
      </c>
      <c r="U178" s="10">
        <v>1</v>
      </c>
      <c r="V178" s="10">
        <v>0</v>
      </c>
      <c r="W178" s="10">
        <v>0</v>
      </c>
      <c r="X178" s="10">
        <v>24217</v>
      </c>
      <c r="Y178" s="12" t="s">
        <v>14</v>
      </c>
      <c r="Z178" s="12" t="s">
        <v>1277</v>
      </c>
      <c r="AA178" s="13" t="s">
        <v>1192</v>
      </c>
      <c r="AB178" s="14">
        <v>3331</v>
      </c>
      <c r="AC178" s="15" t="s">
        <v>957</v>
      </c>
      <c r="AD178" s="28">
        <v>19066</v>
      </c>
      <c r="AE178" s="14">
        <v>11354</v>
      </c>
      <c r="AF178" s="14"/>
      <c r="AG178" s="14">
        <v>7835</v>
      </c>
      <c r="AH178" s="14" t="s">
        <v>17</v>
      </c>
      <c r="AI178" s="15" t="s">
        <v>29</v>
      </c>
      <c r="AJ178" s="14">
        <v>1</v>
      </c>
      <c r="AK178" s="14">
        <v>0</v>
      </c>
      <c r="AL178" s="14">
        <v>0</v>
      </c>
      <c r="AM178" s="51">
        <v>33342</v>
      </c>
      <c r="AN178" s="51">
        <v>2201</v>
      </c>
      <c r="AO178" s="51">
        <v>2280</v>
      </c>
      <c r="AP178" s="51">
        <v>268</v>
      </c>
      <c r="AQ178" s="51">
        <v>476</v>
      </c>
      <c r="AR178" s="51">
        <v>27915</v>
      </c>
      <c r="AS178" s="51">
        <v>199</v>
      </c>
      <c r="AT178" s="51">
        <v>3</v>
      </c>
      <c r="AU178" s="51">
        <v>16783</v>
      </c>
      <c r="AV178" s="51">
        <v>16559</v>
      </c>
      <c r="AW178" s="51">
        <v>12020</v>
      </c>
      <c r="AX178" s="51">
        <v>21322</v>
      </c>
      <c r="AY178" s="14">
        <v>12987</v>
      </c>
      <c r="AZ178" s="14">
        <v>43248</v>
      </c>
      <c r="BA178" s="14">
        <v>2</v>
      </c>
      <c r="BB178" s="14">
        <v>209</v>
      </c>
      <c r="BC178" s="14">
        <v>43037</v>
      </c>
      <c r="BD178" s="14">
        <v>28223</v>
      </c>
      <c r="BE178" s="11">
        <v>0.65258509064002956</v>
      </c>
      <c r="BF178" s="14">
        <v>2334</v>
      </c>
      <c r="BG178" s="11">
        <v>5.3967813540510542E-2</v>
      </c>
      <c r="BH178" s="14">
        <v>12095</v>
      </c>
      <c r="BI178" s="11">
        <v>0.27966611172770994</v>
      </c>
      <c r="BJ178" s="14">
        <v>0</v>
      </c>
      <c r="BK178" s="14">
        <v>0</v>
      </c>
      <c r="BL178" s="14">
        <v>0</v>
      </c>
      <c r="BM178" s="14">
        <v>596</v>
      </c>
      <c r="BN178" s="14">
        <v>596</v>
      </c>
      <c r="BO178" s="11">
        <f>Table14[[#This Row],[Base_Stock_GE15]]/Table14[[#This Row],[All_Voters_GE15]]</f>
        <v>0.55995652978172406</v>
      </c>
      <c r="BP178" s="14">
        <v>15227</v>
      </c>
      <c r="BQ178" s="10">
        <v>10940</v>
      </c>
      <c r="BR178" s="44">
        <v>6534</v>
      </c>
      <c r="BS178" s="10">
        <v>2169</v>
      </c>
      <c r="BT178" s="10">
        <v>18083</v>
      </c>
      <c r="BU178" s="10">
        <v>15416</v>
      </c>
      <c r="BV178" s="10">
        <v>7580</v>
      </c>
      <c r="BW178" s="10">
        <f t="shared" si="50"/>
        <v>20252</v>
      </c>
      <c r="BX178" s="10">
        <f t="shared" si="51"/>
        <v>22996</v>
      </c>
      <c r="BY178" s="14">
        <v>44899</v>
      </c>
      <c r="BZ178" s="14">
        <v>0</v>
      </c>
      <c r="CA178" s="14">
        <v>223</v>
      </c>
      <c r="CB178" s="14">
        <v>44676</v>
      </c>
      <c r="CC178" s="14">
        <v>30260</v>
      </c>
      <c r="CD178" s="14">
        <v>2165</v>
      </c>
      <c r="CE178" s="14">
        <v>12072</v>
      </c>
      <c r="CF178" s="14">
        <v>0</v>
      </c>
      <c r="CG178" s="14">
        <v>0</v>
      </c>
      <c r="CH178" s="14">
        <v>0</v>
      </c>
      <c r="CI178" s="14">
        <v>402</v>
      </c>
      <c r="CJ178" s="14">
        <f t="shared" si="52"/>
        <v>402</v>
      </c>
      <c r="CK178" s="14">
        <v>22614</v>
      </c>
      <c r="CL178" s="14">
        <v>22285</v>
      </c>
      <c r="CM178" s="14">
        <v>19744</v>
      </c>
      <c r="CN178" s="11">
        <f t="shared" si="53"/>
        <v>0.43974253324127488</v>
      </c>
      <c r="CO178" s="14">
        <v>25155</v>
      </c>
      <c r="CP178" s="11">
        <f t="shared" si="54"/>
        <v>0.56025746675872512</v>
      </c>
      <c r="CQ178" s="29">
        <v>1855</v>
      </c>
      <c r="CR178" s="29">
        <v>17919</v>
      </c>
      <c r="CS178" s="29">
        <v>15799</v>
      </c>
      <c r="CT178" s="29">
        <v>8819</v>
      </c>
      <c r="CU178" s="45">
        <v>19229</v>
      </c>
      <c r="CV178" s="45">
        <v>7871</v>
      </c>
      <c r="CW178" s="45">
        <v>8356</v>
      </c>
      <c r="CX178" s="45">
        <v>1935</v>
      </c>
      <c r="CY178" s="45">
        <v>1067</v>
      </c>
      <c r="CZ178" s="45">
        <v>261</v>
      </c>
      <c r="DA178" s="45">
        <v>259</v>
      </c>
      <c r="DB178" s="45">
        <v>219</v>
      </c>
      <c r="DC178" s="45">
        <v>193</v>
      </c>
    </row>
    <row r="179" spans="1:107" x14ac:dyDescent="0.35">
      <c r="A179" s="1" t="s">
        <v>1132</v>
      </c>
      <c r="B179" s="5" t="s">
        <v>0</v>
      </c>
      <c r="C179" s="3" t="s">
        <v>1193</v>
      </c>
      <c r="D179" s="4" t="s">
        <v>1194</v>
      </c>
      <c r="E179" s="27"/>
      <c r="F179" s="5">
        <v>30</v>
      </c>
      <c r="G179" s="2">
        <v>0.64999672996010549</v>
      </c>
      <c r="H179" s="2" t="s">
        <v>1276</v>
      </c>
      <c r="I179" s="8" t="s">
        <v>1135</v>
      </c>
      <c r="J179" s="7" t="s">
        <v>1372</v>
      </c>
      <c r="K179" s="8">
        <v>0</v>
      </c>
      <c r="L179" s="8">
        <v>0</v>
      </c>
      <c r="M179" s="7">
        <v>0</v>
      </c>
      <c r="N179" s="8">
        <v>4834</v>
      </c>
      <c r="O179" s="8" t="s">
        <v>10</v>
      </c>
      <c r="P179" s="7" t="s">
        <v>1195</v>
      </c>
      <c r="Q179" s="8">
        <v>0</v>
      </c>
      <c r="R179" s="8">
        <v>0</v>
      </c>
      <c r="S179" s="7">
        <v>0</v>
      </c>
      <c r="T179" s="15">
        <v>4691</v>
      </c>
      <c r="U179" s="10">
        <v>0</v>
      </c>
      <c r="V179" s="10">
        <v>0</v>
      </c>
      <c r="W179" s="10">
        <v>0</v>
      </c>
      <c r="X179" s="10">
        <v>18645</v>
      </c>
      <c r="Y179" s="12" t="s">
        <v>14</v>
      </c>
      <c r="Z179" s="12" t="s">
        <v>1277</v>
      </c>
      <c r="AA179" s="13" t="s">
        <v>1196</v>
      </c>
      <c r="AB179" s="14">
        <v>852</v>
      </c>
      <c r="AC179" s="15" t="s">
        <v>544</v>
      </c>
      <c r="AD179" s="28">
        <v>17931</v>
      </c>
      <c r="AE179" s="14">
        <v>12038</v>
      </c>
      <c r="AF179" s="14"/>
      <c r="AG179" s="14">
        <v>11186</v>
      </c>
      <c r="AH179" s="14" t="s">
        <v>17</v>
      </c>
      <c r="AI179" s="15" t="s">
        <v>1131</v>
      </c>
      <c r="AJ179" s="14">
        <v>1</v>
      </c>
      <c r="AK179" s="14">
        <v>0</v>
      </c>
      <c r="AL179" s="14">
        <v>0</v>
      </c>
      <c r="AM179" s="51">
        <v>31882</v>
      </c>
      <c r="AN179" s="51">
        <v>2272</v>
      </c>
      <c r="AO179" s="51">
        <v>1290</v>
      </c>
      <c r="AP179" s="51">
        <v>92</v>
      </c>
      <c r="AQ179" s="51">
        <v>589</v>
      </c>
      <c r="AR179" s="51">
        <v>27116</v>
      </c>
      <c r="AS179" s="51">
        <v>523</v>
      </c>
      <c r="AT179" s="51">
        <v>0</v>
      </c>
      <c r="AU179" s="51">
        <v>16012</v>
      </c>
      <c r="AV179" s="51">
        <v>15870</v>
      </c>
      <c r="AW179" s="51">
        <v>12854</v>
      </c>
      <c r="AX179" s="51">
        <v>19028</v>
      </c>
      <c r="AY179" s="14">
        <v>13440</v>
      </c>
      <c r="AZ179" s="14">
        <v>45871</v>
      </c>
      <c r="BA179" s="14">
        <v>1</v>
      </c>
      <c r="BB179" s="14">
        <v>146</v>
      </c>
      <c r="BC179" s="14">
        <v>45724</v>
      </c>
      <c r="BD179" s="14">
        <v>33789</v>
      </c>
      <c r="BE179" s="11">
        <v>0.73660918663207686</v>
      </c>
      <c r="BF179" s="14">
        <v>1558</v>
      </c>
      <c r="BG179" s="11">
        <v>3.396481437073532E-2</v>
      </c>
      <c r="BH179" s="14">
        <v>10044</v>
      </c>
      <c r="BI179" s="11">
        <v>0.21896187133483028</v>
      </c>
      <c r="BJ179" s="14">
        <v>0</v>
      </c>
      <c r="BK179" s="14">
        <v>0</v>
      </c>
      <c r="BL179" s="14">
        <v>0</v>
      </c>
      <c r="BM179" s="14">
        <v>480</v>
      </c>
      <c r="BN179" s="14">
        <v>480</v>
      </c>
      <c r="BO179" s="11">
        <f>Table14[[#This Row],[Base_Stock_GE15]]/Table14[[#This Row],[All_Voters_GE15]]</f>
        <v>0.40646595888469839</v>
      </c>
      <c r="BP179" s="14">
        <v>0</v>
      </c>
      <c r="BQ179" s="10">
        <v>14868</v>
      </c>
      <c r="BR179" s="44">
        <v>8445</v>
      </c>
      <c r="BS179" s="10">
        <v>2781</v>
      </c>
      <c r="BT179" s="10">
        <v>21933</v>
      </c>
      <c r="BU179" s="10">
        <v>14215</v>
      </c>
      <c r="BV179" s="10">
        <v>6942</v>
      </c>
      <c r="BW179" s="10">
        <f t="shared" si="50"/>
        <v>24714</v>
      </c>
      <c r="BX179" s="10">
        <f t="shared" si="51"/>
        <v>21157</v>
      </c>
      <c r="BY179" s="14">
        <v>48046</v>
      </c>
      <c r="BZ179" s="14">
        <v>0</v>
      </c>
      <c r="CA179" s="14">
        <v>164</v>
      </c>
      <c r="CB179" s="14">
        <v>47882</v>
      </c>
      <c r="CC179" s="14">
        <v>36049</v>
      </c>
      <c r="CD179" s="14">
        <v>1566</v>
      </c>
      <c r="CE179" s="14">
        <v>10159</v>
      </c>
      <c r="CF179" s="14">
        <v>0</v>
      </c>
      <c r="CG179" s="14">
        <v>0</v>
      </c>
      <c r="CH179" s="14">
        <v>0</v>
      </c>
      <c r="CI179" s="14">
        <v>272</v>
      </c>
      <c r="CJ179" s="14">
        <f t="shared" si="52"/>
        <v>272</v>
      </c>
      <c r="CK179" s="14">
        <v>24336</v>
      </c>
      <c r="CL179" s="14">
        <v>23710</v>
      </c>
      <c r="CM179" s="14">
        <v>24158</v>
      </c>
      <c r="CN179" s="11">
        <f t="shared" si="53"/>
        <v>0.50280980726803481</v>
      </c>
      <c r="CO179" s="14">
        <v>23888</v>
      </c>
      <c r="CP179" s="11">
        <f t="shared" si="54"/>
        <v>0.49719019273196519</v>
      </c>
      <c r="CQ179" s="29">
        <v>2302</v>
      </c>
      <c r="CR179" s="29">
        <v>21987</v>
      </c>
      <c r="CS179" s="29">
        <v>15129</v>
      </c>
      <c r="CT179" s="29">
        <v>7941</v>
      </c>
      <c r="CU179" s="45">
        <v>23148</v>
      </c>
      <c r="CV179" s="45">
        <v>9425</v>
      </c>
      <c r="CW179" s="45">
        <v>9470</v>
      </c>
      <c r="CX179" s="45">
        <v>2717</v>
      </c>
      <c r="CY179" s="45">
        <v>1536</v>
      </c>
      <c r="CZ179" s="45">
        <v>294</v>
      </c>
      <c r="DA179" s="45">
        <v>294</v>
      </c>
      <c r="DB179" s="45">
        <v>262</v>
      </c>
      <c r="DC179" s="45">
        <v>223</v>
      </c>
    </row>
    <row r="180" spans="1:107" x14ac:dyDescent="0.35">
      <c r="A180" s="1" t="s">
        <v>1132</v>
      </c>
      <c r="B180" s="5" t="s">
        <v>0</v>
      </c>
      <c r="C180" s="3" t="s">
        <v>1197</v>
      </c>
      <c r="D180" s="4" t="s">
        <v>1198</v>
      </c>
      <c r="E180" s="27"/>
      <c r="F180" s="5">
        <v>52</v>
      </c>
      <c r="G180" s="2">
        <v>0.64360990423500763</v>
      </c>
      <c r="H180" s="2" t="s">
        <v>1276</v>
      </c>
      <c r="I180" s="8" t="s">
        <v>1135</v>
      </c>
      <c r="J180" s="7" t="s">
        <v>1373</v>
      </c>
      <c r="K180" s="8">
        <v>0</v>
      </c>
      <c r="L180" s="8">
        <v>0</v>
      </c>
      <c r="M180" s="7">
        <v>0</v>
      </c>
      <c r="N180" s="8">
        <v>11514</v>
      </c>
      <c r="O180" s="8" t="s">
        <v>23</v>
      </c>
      <c r="P180" s="7" t="s">
        <v>1199</v>
      </c>
      <c r="Q180" s="8">
        <v>0</v>
      </c>
      <c r="R180" s="8">
        <v>0</v>
      </c>
      <c r="S180" s="7">
        <v>0</v>
      </c>
      <c r="T180" s="15">
        <v>11092</v>
      </c>
      <c r="U180" s="10">
        <v>0</v>
      </c>
      <c r="V180" s="10">
        <v>0</v>
      </c>
      <c r="W180" s="10">
        <v>0</v>
      </c>
      <c r="X180" s="10">
        <v>1541</v>
      </c>
      <c r="Y180" s="12" t="s">
        <v>26</v>
      </c>
      <c r="Z180" s="12" t="s">
        <v>1277</v>
      </c>
      <c r="AA180" s="13" t="s">
        <v>1200</v>
      </c>
      <c r="AB180" s="14">
        <v>1076</v>
      </c>
      <c r="AC180" s="15" t="s">
        <v>1201</v>
      </c>
      <c r="AD180" s="28">
        <v>27109</v>
      </c>
      <c r="AE180" s="14">
        <v>13804</v>
      </c>
      <c r="AF180" s="14"/>
      <c r="AG180" s="14">
        <v>14880</v>
      </c>
      <c r="AH180" s="14" t="s">
        <v>1157</v>
      </c>
      <c r="AI180" s="15" t="s">
        <v>29</v>
      </c>
      <c r="AJ180" s="14">
        <v>0</v>
      </c>
      <c r="AK180" s="14">
        <v>1</v>
      </c>
      <c r="AL180" s="14">
        <v>0</v>
      </c>
      <c r="AM180" s="51">
        <v>43706</v>
      </c>
      <c r="AN180" s="51">
        <v>1173</v>
      </c>
      <c r="AO180" s="51">
        <v>779</v>
      </c>
      <c r="AP180" s="51">
        <v>46</v>
      </c>
      <c r="AQ180" s="51">
        <v>287</v>
      </c>
      <c r="AR180" s="51">
        <v>41283</v>
      </c>
      <c r="AS180" s="51">
        <v>135</v>
      </c>
      <c r="AT180" s="51">
        <v>3</v>
      </c>
      <c r="AU180" s="51">
        <v>21792</v>
      </c>
      <c r="AV180" s="51">
        <v>21914</v>
      </c>
      <c r="AW180" s="51">
        <v>19129</v>
      </c>
      <c r="AX180" s="51">
        <v>24577</v>
      </c>
      <c r="AY180" s="14">
        <v>14437.333333333334</v>
      </c>
      <c r="AZ180" s="14">
        <v>66517</v>
      </c>
      <c r="BA180" s="14">
        <v>0</v>
      </c>
      <c r="BB180" s="14">
        <v>189</v>
      </c>
      <c r="BC180" s="14">
        <v>66328</v>
      </c>
      <c r="BD180" s="14">
        <v>29144</v>
      </c>
      <c r="BE180" s="11">
        <v>0.43814363245486115</v>
      </c>
      <c r="BF180" s="14">
        <v>890</v>
      </c>
      <c r="BG180" s="11">
        <v>1.3380038185726957E-2</v>
      </c>
      <c r="BH180" s="14">
        <v>35790</v>
      </c>
      <c r="BI180" s="11">
        <v>0.53805794007546948</v>
      </c>
      <c r="BJ180" s="14">
        <v>0</v>
      </c>
      <c r="BK180" s="14">
        <v>0</v>
      </c>
      <c r="BL180" s="14">
        <v>0</v>
      </c>
      <c r="BM180" s="14">
        <v>693</v>
      </c>
      <c r="BN180" s="14">
        <v>693</v>
      </c>
      <c r="BO180" s="11">
        <f>Table14[[#This Row],[Base_Stock_GE15]]/Table14[[#This Row],[All_Voters_GE15]]</f>
        <v>2.316700993730926E-2</v>
      </c>
      <c r="BP180" s="14">
        <v>0</v>
      </c>
      <c r="BQ180" s="10">
        <v>23928</v>
      </c>
      <c r="BR180" s="44">
        <v>13837</v>
      </c>
      <c r="BS180" s="10">
        <v>4567</v>
      </c>
      <c r="BT180" s="10">
        <v>34486</v>
      </c>
      <c r="BU180" s="10">
        <v>18516</v>
      </c>
      <c r="BV180" s="10">
        <v>8948</v>
      </c>
      <c r="BW180" s="10">
        <f t="shared" si="50"/>
        <v>39053</v>
      </c>
      <c r="BX180" s="10">
        <f t="shared" si="51"/>
        <v>27464</v>
      </c>
      <c r="BY180" s="14">
        <v>70876</v>
      </c>
      <c r="BZ180" s="14">
        <v>0</v>
      </c>
      <c r="CA180" s="14">
        <v>194</v>
      </c>
      <c r="CB180" s="14">
        <v>70682</v>
      </c>
      <c r="CC180" s="14">
        <v>33110</v>
      </c>
      <c r="CD180" s="14">
        <v>879</v>
      </c>
      <c r="CE180" s="14">
        <v>36681</v>
      </c>
      <c r="CF180" s="14">
        <v>0</v>
      </c>
      <c r="CG180" s="14">
        <v>0</v>
      </c>
      <c r="CH180" s="14">
        <v>0</v>
      </c>
      <c r="CI180" s="14">
        <v>206</v>
      </c>
      <c r="CJ180" s="14">
        <f t="shared" si="52"/>
        <v>206</v>
      </c>
      <c r="CK180" s="14">
        <v>35747</v>
      </c>
      <c r="CL180" s="14">
        <v>35129</v>
      </c>
      <c r="CM180" s="14">
        <v>38998</v>
      </c>
      <c r="CN180" s="11">
        <f t="shared" si="53"/>
        <v>0.5502285682036232</v>
      </c>
      <c r="CO180" s="14">
        <v>31878</v>
      </c>
      <c r="CP180" s="11">
        <f t="shared" si="54"/>
        <v>0.4497714317963768</v>
      </c>
      <c r="CQ180" s="29">
        <v>4045</v>
      </c>
      <c r="CR180" s="29">
        <v>34872</v>
      </c>
      <c r="CS180" s="29">
        <v>20715</v>
      </c>
      <c r="CT180" s="29">
        <v>9930</v>
      </c>
      <c r="CU180" s="45">
        <v>21195</v>
      </c>
      <c r="CV180" s="45">
        <v>7704</v>
      </c>
      <c r="CW180" s="45">
        <v>9143</v>
      </c>
      <c r="CX180" s="45">
        <v>2940</v>
      </c>
      <c r="CY180" s="45">
        <v>1408</v>
      </c>
      <c r="CZ180" s="45">
        <v>212</v>
      </c>
      <c r="DA180" s="45">
        <v>209</v>
      </c>
      <c r="DB180" s="45">
        <v>193</v>
      </c>
      <c r="DC180" s="45">
        <v>170</v>
      </c>
    </row>
    <row r="181" spans="1:107" x14ac:dyDescent="0.35">
      <c r="A181" s="1" t="s">
        <v>1132</v>
      </c>
      <c r="B181" s="5" t="s">
        <v>0</v>
      </c>
      <c r="C181" s="3" t="s">
        <v>1202</v>
      </c>
      <c r="D181" s="4" t="s">
        <v>1203</v>
      </c>
      <c r="E181" s="27"/>
      <c r="F181" s="5">
        <v>37</v>
      </c>
      <c r="G181" s="2">
        <v>0.63412796273462113</v>
      </c>
      <c r="H181" s="2" t="s">
        <v>1276</v>
      </c>
      <c r="I181" s="8" t="s">
        <v>1135</v>
      </c>
      <c r="J181" s="7" t="s">
        <v>1374</v>
      </c>
      <c r="K181" s="8">
        <v>0</v>
      </c>
      <c r="L181" s="8">
        <v>0</v>
      </c>
      <c r="M181" s="7">
        <v>0</v>
      </c>
      <c r="N181" s="8">
        <v>15099</v>
      </c>
      <c r="O181" s="8" t="s">
        <v>102</v>
      </c>
      <c r="P181" s="7" t="s">
        <v>1204</v>
      </c>
      <c r="Q181" s="8">
        <v>0</v>
      </c>
      <c r="R181" s="8">
        <v>0</v>
      </c>
      <c r="S181" s="7">
        <v>0</v>
      </c>
      <c r="T181" s="15">
        <v>8056</v>
      </c>
      <c r="U181" s="10">
        <v>0</v>
      </c>
      <c r="V181" s="10">
        <v>0</v>
      </c>
      <c r="W181" s="10">
        <v>0</v>
      </c>
      <c r="X181" s="10">
        <v>13</v>
      </c>
      <c r="Y181" s="12" t="s">
        <v>1205</v>
      </c>
      <c r="Z181" s="12" t="s">
        <v>1277</v>
      </c>
      <c r="AA181" s="13" t="s">
        <v>1206</v>
      </c>
      <c r="AB181" s="14">
        <v>45</v>
      </c>
      <c r="AC181" s="15" t="s">
        <v>544</v>
      </c>
      <c r="AD181" s="28">
        <v>25630</v>
      </c>
      <c r="AE181" s="14">
        <v>12742</v>
      </c>
      <c r="AF181" s="14"/>
      <c r="AG181" s="14">
        <v>13241</v>
      </c>
      <c r="AH181" s="14" t="s">
        <v>1147</v>
      </c>
      <c r="AI181" s="15" t="s">
        <v>1131</v>
      </c>
      <c r="AJ181" s="14">
        <v>0</v>
      </c>
      <c r="AK181" s="14">
        <v>0</v>
      </c>
      <c r="AL181" s="14">
        <v>0</v>
      </c>
      <c r="AM181" s="51">
        <v>51177</v>
      </c>
      <c r="AN181" s="51">
        <v>1885</v>
      </c>
      <c r="AO181" s="51">
        <v>4564</v>
      </c>
      <c r="AP181" s="51">
        <v>153</v>
      </c>
      <c r="AQ181" s="51">
        <v>1084</v>
      </c>
      <c r="AR181" s="51">
        <v>43161</v>
      </c>
      <c r="AS181" s="51">
        <v>327</v>
      </c>
      <c r="AT181" s="51">
        <v>3</v>
      </c>
      <c r="AU181" s="51">
        <v>25463</v>
      </c>
      <c r="AV181" s="51">
        <v>25714</v>
      </c>
      <c r="AW181" s="51">
        <v>21409</v>
      </c>
      <c r="AX181" s="51">
        <v>29768</v>
      </c>
      <c r="AY181" s="14">
        <v>14386</v>
      </c>
      <c r="AZ181" s="14">
        <v>87588</v>
      </c>
      <c r="BA181" s="14">
        <v>3</v>
      </c>
      <c r="BB181" s="14">
        <v>271</v>
      </c>
      <c r="BC181" s="14">
        <v>87314</v>
      </c>
      <c r="BD181" s="14">
        <v>24640</v>
      </c>
      <c r="BE181" s="11">
        <v>0.28131707539845641</v>
      </c>
      <c r="BF181" s="14">
        <v>6229</v>
      </c>
      <c r="BG181" s="11">
        <v>7.1117047997442576E-2</v>
      </c>
      <c r="BH181" s="14">
        <v>55375</v>
      </c>
      <c r="BI181" s="11">
        <v>0.63222130885509431</v>
      </c>
      <c r="BJ181" s="14">
        <v>0</v>
      </c>
      <c r="BK181" s="14">
        <v>0</v>
      </c>
      <c r="BL181" s="14">
        <v>0</v>
      </c>
      <c r="BM181" s="14">
        <v>1344</v>
      </c>
      <c r="BN181" s="14">
        <v>1344</v>
      </c>
      <c r="BO181" s="11">
        <f>Table14[[#This Row],[Base_Stock_GE15]]/Table14[[#This Row],[All_Voters_GE15]]</f>
        <v>1.4842215828652326E-4</v>
      </c>
      <c r="BP181" s="14">
        <v>0</v>
      </c>
      <c r="BQ181" s="10">
        <v>37716</v>
      </c>
      <c r="BR181" s="44">
        <v>19092</v>
      </c>
      <c r="BS181" s="10">
        <v>6164</v>
      </c>
      <c r="BT181" s="10">
        <v>46991</v>
      </c>
      <c r="BU181" s="10">
        <v>24180</v>
      </c>
      <c r="BV181" s="10">
        <v>10253</v>
      </c>
      <c r="BW181" s="10">
        <f t="shared" si="50"/>
        <v>53155</v>
      </c>
      <c r="BX181" s="10">
        <f t="shared" si="51"/>
        <v>34433</v>
      </c>
      <c r="BY181" s="14">
        <v>94198</v>
      </c>
      <c r="BZ181" s="14">
        <v>0</v>
      </c>
      <c r="CA181" s="14">
        <v>798</v>
      </c>
      <c r="CB181" s="14">
        <v>93400</v>
      </c>
      <c r="CC181" s="14">
        <v>29670</v>
      </c>
      <c r="CD181" s="14">
        <v>6287</v>
      </c>
      <c r="CE181" s="14">
        <v>57401</v>
      </c>
      <c r="CF181" s="14">
        <v>0</v>
      </c>
      <c r="CG181" s="14">
        <v>0</v>
      </c>
      <c r="CH181" s="14">
        <v>0</v>
      </c>
      <c r="CI181" s="14">
        <v>840</v>
      </c>
      <c r="CJ181" s="14">
        <f t="shared" si="52"/>
        <v>840</v>
      </c>
      <c r="CK181" s="14">
        <v>47518</v>
      </c>
      <c r="CL181" s="14">
        <v>46680</v>
      </c>
      <c r="CM181" s="14">
        <v>53697</v>
      </c>
      <c r="CN181" s="11">
        <f t="shared" si="53"/>
        <v>0.57004394997770658</v>
      </c>
      <c r="CO181" s="14">
        <v>40501</v>
      </c>
      <c r="CP181" s="11">
        <f t="shared" si="54"/>
        <v>0.42995605002229348</v>
      </c>
      <c r="CQ181" s="29">
        <v>5250</v>
      </c>
      <c r="CR181" s="29">
        <v>48274</v>
      </c>
      <c r="CS181" s="29">
        <v>26643</v>
      </c>
      <c r="CT181" s="29">
        <v>12101</v>
      </c>
      <c r="CU181" s="45">
        <v>22225</v>
      </c>
      <c r="CV181" s="45">
        <v>10528</v>
      </c>
      <c r="CW181" s="45">
        <v>9446</v>
      </c>
      <c r="CX181" s="45">
        <v>1106</v>
      </c>
      <c r="CY181" s="45">
        <v>1145</v>
      </c>
      <c r="CZ181" s="45">
        <v>244</v>
      </c>
      <c r="DA181" s="45">
        <v>231</v>
      </c>
      <c r="DB181" s="45">
        <v>148</v>
      </c>
      <c r="DC181" s="45">
        <v>106</v>
      </c>
    </row>
    <row r="182" spans="1:107" x14ac:dyDescent="0.35">
      <c r="A182" s="1" t="s">
        <v>1132</v>
      </c>
      <c r="B182" s="5" t="s">
        <v>0</v>
      </c>
      <c r="C182" s="3" t="s">
        <v>1207</v>
      </c>
      <c r="D182" s="4" t="s">
        <v>1208</v>
      </c>
      <c r="E182" s="27"/>
      <c r="F182" s="5">
        <v>22</v>
      </c>
      <c r="G182" s="2">
        <v>0.69159234153882743</v>
      </c>
      <c r="H182" s="2" t="s">
        <v>1276</v>
      </c>
      <c r="I182" s="8" t="s">
        <v>808</v>
      </c>
      <c r="J182" s="7" t="s">
        <v>1375</v>
      </c>
      <c r="K182" s="8">
        <v>8625</v>
      </c>
      <c r="L182" s="8" t="s">
        <v>8</v>
      </c>
      <c r="M182" s="7" t="s">
        <v>1209</v>
      </c>
      <c r="N182" s="8">
        <v>8919</v>
      </c>
      <c r="O182" s="8" t="s">
        <v>102</v>
      </c>
      <c r="P182" s="7" t="s">
        <v>1210</v>
      </c>
      <c r="Q182" s="8">
        <v>0</v>
      </c>
      <c r="R182" s="8">
        <v>0</v>
      </c>
      <c r="S182" s="7">
        <v>0</v>
      </c>
      <c r="T182" s="15">
        <v>1108</v>
      </c>
      <c r="U182" s="10">
        <v>0</v>
      </c>
      <c r="V182" s="10">
        <v>0</v>
      </c>
      <c r="W182" s="10">
        <v>0</v>
      </c>
      <c r="X182" s="10">
        <v>14628</v>
      </c>
      <c r="Y182" s="12" t="s">
        <v>319</v>
      </c>
      <c r="Z182" s="12" t="s">
        <v>1277</v>
      </c>
      <c r="AA182" s="13" t="s">
        <v>1211</v>
      </c>
      <c r="AB182" s="14">
        <v>1133</v>
      </c>
      <c r="AC182" s="15" t="s">
        <v>1212</v>
      </c>
      <c r="AD182" s="28">
        <v>19920</v>
      </c>
      <c r="AE182" s="14">
        <v>10230</v>
      </c>
      <c r="AF182" s="14"/>
      <c r="AG182" s="14">
        <v>11363</v>
      </c>
      <c r="AH182" s="14" t="s">
        <v>17</v>
      </c>
      <c r="AI182" s="15" t="s">
        <v>321</v>
      </c>
      <c r="AJ182" s="14">
        <v>0</v>
      </c>
      <c r="AK182" s="14">
        <v>1</v>
      </c>
      <c r="AL182" s="14">
        <v>0</v>
      </c>
      <c r="AM182" s="51">
        <v>29182</v>
      </c>
      <c r="AN182" s="51">
        <v>2005</v>
      </c>
      <c r="AO182" s="51">
        <v>3057</v>
      </c>
      <c r="AP182" s="51">
        <v>96</v>
      </c>
      <c r="AQ182" s="51">
        <v>412</v>
      </c>
      <c r="AR182" s="51">
        <v>23472</v>
      </c>
      <c r="AS182" s="51">
        <v>139</v>
      </c>
      <c r="AT182" s="51">
        <v>1</v>
      </c>
      <c r="AU182" s="51">
        <v>14541</v>
      </c>
      <c r="AV182" s="51">
        <v>14641</v>
      </c>
      <c r="AW182" s="51">
        <v>12239</v>
      </c>
      <c r="AX182" s="51">
        <v>16943</v>
      </c>
      <c r="AY182" s="14">
        <v>9845.3333333333339</v>
      </c>
      <c r="AZ182" s="14">
        <v>42045</v>
      </c>
      <c r="BA182" s="14">
        <v>2</v>
      </c>
      <c r="BB182" s="14">
        <v>140</v>
      </c>
      <c r="BC182" s="14">
        <v>41903</v>
      </c>
      <c r="BD182" s="14">
        <v>9020</v>
      </c>
      <c r="BE182" s="11">
        <v>0.21453204899512426</v>
      </c>
      <c r="BF182" s="14">
        <v>3560</v>
      </c>
      <c r="BG182" s="11">
        <v>8.4671185634439289E-2</v>
      </c>
      <c r="BH182" s="14">
        <v>28922</v>
      </c>
      <c r="BI182" s="11">
        <v>0.68788203115709357</v>
      </c>
      <c r="BJ182" s="14">
        <v>0</v>
      </c>
      <c r="BK182" s="14">
        <v>0</v>
      </c>
      <c r="BL182" s="14">
        <v>0</v>
      </c>
      <c r="BM182" s="14">
        <v>543</v>
      </c>
      <c r="BN182" s="14">
        <v>543</v>
      </c>
      <c r="BO182" s="11">
        <f>Table14[[#This Row],[Base_Stock_GE15]]/Table14[[#This Row],[All_Voters_GE15]]</f>
        <v>0.3479129504102747</v>
      </c>
      <c r="BP182" s="14">
        <v>1902</v>
      </c>
      <c r="BQ182" s="10">
        <v>13546</v>
      </c>
      <c r="BR182" s="44">
        <v>8260</v>
      </c>
      <c r="BS182" s="10">
        <v>2884</v>
      </c>
      <c r="BT182" s="10">
        <v>20333</v>
      </c>
      <c r="BU182" s="10">
        <v>12653</v>
      </c>
      <c r="BV182" s="10">
        <v>6175</v>
      </c>
      <c r="BW182" s="10">
        <f t="shared" si="50"/>
        <v>23217</v>
      </c>
      <c r="BX182" s="10">
        <f t="shared" si="51"/>
        <v>18828</v>
      </c>
      <c r="BY182" s="14">
        <v>44852</v>
      </c>
      <c r="BZ182" s="14">
        <v>0</v>
      </c>
      <c r="CA182" s="14">
        <v>173</v>
      </c>
      <c r="CB182" s="14">
        <v>44679</v>
      </c>
      <c r="CC182" s="14">
        <v>10765</v>
      </c>
      <c r="CD182" s="14">
        <v>3478</v>
      </c>
      <c r="CE182" s="14">
        <v>30355</v>
      </c>
      <c r="CF182" s="14">
        <v>0</v>
      </c>
      <c r="CG182" s="14">
        <v>0</v>
      </c>
      <c r="CH182" s="14">
        <v>0</v>
      </c>
      <c r="CI182" s="14">
        <v>254</v>
      </c>
      <c r="CJ182" s="14">
        <f t="shared" si="52"/>
        <v>254</v>
      </c>
      <c r="CK182" s="14">
        <v>22366</v>
      </c>
      <c r="CL182" s="14">
        <v>22486</v>
      </c>
      <c r="CM182" s="14">
        <v>23135</v>
      </c>
      <c r="CN182" s="11">
        <f t="shared" si="53"/>
        <v>0.51580754481405511</v>
      </c>
      <c r="CO182" s="14">
        <v>21717</v>
      </c>
      <c r="CP182" s="11">
        <f t="shared" si="54"/>
        <v>0.48419245518594489</v>
      </c>
      <c r="CQ182" s="29">
        <v>2322</v>
      </c>
      <c r="CR182" s="29">
        <v>20727</v>
      </c>
      <c r="CS182" s="29">
        <v>13766</v>
      </c>
      <c r="CT182" s="29">
        <v>7023</v>
      </c>
      <c r="CU182" s="45">
        <v>16836</v>
      </c>
      <c r="CV182" s="45">
        <v>6162</v>
      </c>
      <c r="CW182" s="45">
        <v>7381</v>
      </c>
      <c r="CX182" s="45">
        <v>1883</v>
      </c>
      <c r="CY182" s="45">
        <v>1410</v>
      </c>
      <c r="CZ182" s="45">
        <v>182</v>
      </c>
      <c r="DA182" s="45">
        <v>182</v>
      </c>
      <c r="DB182" s="45">
        <v>174</v>
      </c>
      <c r="DC182" s="45">
        <v>148</v>
      </c>
    </row>
    <row r="183" spans="1:107" x14ac:dyDescent="0.35">
      <c r="A183" s="1" t="s">
        <v>1132</v>
      </c>
      <c r="B183" s="5" t="s">
        <v>0</v>
      </c>
      <c r="C183" s="3" t="s">
        <v>1213</v>
      </c>
      <c r="D183" s="4" t="s">
        <v>1214</v>
      </c>
      <c r="E183" s="27"/>
      <c r="F183" s="5">
        <v>36</v>
      </c>
      <c r="G183" s="2">
        <v>0.6750969966949274</v>
      </c>
      <c r="H183" s="2" t="s">
        <v>1276</v>
      </c>
      <c r="I183" s="8" t="s">
        <v>6</v>
      </c>
      <c r="J183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DATUK ARTHUR JOSEPH KURUP </v>
      </c>
      <c r="K183" s="8">
        <v>19623</v>
      </c>
      <c r="L183" s="8" t="s">
        <v>1216</v>
      </c>
      <c r="M183" s="7" t="s">
        <v>1215</v>
      </c>
      <c r="N183" s="8">
        <v>14211</v>
      </c>
      <c r="O183" s="8" t="s">
        <v>23</v>
      </c>
      <c r="P183" s="7" t="s">
        <v>1217</v>
      </c>
      <c r="Q183" s="8">
        <v>0</v>
      </c>
      <c r="R183" s="8">
        <v>0</v>
      </c>
      <c r="S183" s="7">
        <v>0</v>
      </c>
      <c r="T183" s="15">
        <v>5412</v>
      </c>
      <c r="U183" s="10">
        <v>1</v>
      </c>
      <c r="V183" s="10">
        <v>0</v>
      </c>
      <c r="W183" s="10">
        <v>0</v>
      </c>
      <c r="X183" s="10">
        <v>20087</v>
      </c>
      <c r="Y183" s="12" t="s">
        <v>1218</v>
      </c>
      <c r="Z183" s="12" t="s">
        <v>1277</v>
      </c>
      <c r="AA183" s="13" t="s">
        <v>1219</v>
      </c>
      <c r="AB183" s="14">
        <v>2314</v>
      </c>
      <c r="AC183" s="15" t="s">
        <v>1056</v>
      </c>
      <c r="AD183" s="28">
        <v>26359</v>
      </c>
      <c r="AE183" s="14">
        <v>11783</v>
      </c>
      <c r="AF183" s="14"/>
      <c r="AG183" s="14">
        <v>9469</v>
      </c>
      <c r="AH183" s="14" t="s">
        <v>1220</v>
      </c>
      <c r="AI183" s="15" t="s">
        <v>29</v>
      </c>
      <c r="AJ183" s="14">
        <v>1</v>
      </c>
      <c r="AK183" s="14">
        <v>0</v>
      </c>
      <c r="AL183" s="14">
        <v>0</v>
      </c>
      <c r="AM183" s="51">
        <v>31377</v>
      </c>
      <c r="AN183" s="51">
        <v>729</v>
      </c>
      <c r="AO183" s="51">
        <v>397</v>
      </c>
      <c r="AP183" s="51">
        <v>31</v>
      </c>
      <c r="AQ183" s="51">
        <v>248</v>
      </c>
      <c r="AR183" s="51">
        <v>29883</v>
      </c>
      <c r="AS183" s="51">
        <v>88</v>
      </c>
      <c r="AT183" s="51">
        <v>1</v>
      </c>
      <c r="AU183" s="51">
        <v>15704</v>
      </c>
      <c r="AV183" s="51">
        <v>15673</v>
      </c>
      <c r="AW183" s="51">
        <v>13944</v>
      </c>
      <c r="AX183" s="51">
        <v>17433</v>
      </c>
      <c r="AY183" s="14">
        <v>10625</v>
      </c>
      <c r="AZ183" s="14">
        <v>55672</v>
      </c>
      <c r="BA183" s="14">
        <v>0</v>
      </c>
      <c r="BB183" s="14">
        <v>11</v>
      </c>
      <c r="BC183" s="14">
        <v>55661</v>
      </c>
      <c r="BD183" s="14">
        <v>10820</v>
      </c>
      <c r="BE183" s="11">
        <v>0.19435263687311397</v>
      </c>
      <c r="BF183" s="14">
        <v>526</v>
      </c>
      <c r="BG183" s="11">
        <v>9.4481965799683865E-3</v>
      </c>
      <c r="BH183" s="14">
        <v>43554</v>
      </c>
      <c r="BI183" s="11">
        <v>0.78233223164247734</v>
      </c>
      <c r="BJ183" s="14">
        <v>0</v>
      </c>
      <c r="BK183" s="14">
        <v>0</v>
      </c>
      <c r="BL183" s="14">
        <v>0</v>
      </c>
      <c r="BM183" s="14">
        <v>772</v>
      </c>
      <c r="BN183" s="14">
        <v>772</v>
      </c>
      <c r="BO183" s="11">
        <f>Table14[[#This Row],[Base_Stock_GE15]]/Table14[[#This Row],[All_Voters_GE15]]</f>
        <v>0.36080974277913491</v>
      </c>
      <c r="BP183" s="14">
        <v>8751</v>
      </c>
      <c r="BQ183" s="10">
        <v>24642</v>
      </c>
      <c r="BR183" s="44">
        <v>13796</v>
      </c>
      <c r="BS183" s="10">
        <v>4828</v>
      </c>
      <c r="BT183" s="10">
        <v>30844</v>
      </c>
      <c r="BU183" s="10">
        <v>13661</v>
      </c>
      <c r="BV183" s="10">
        <v>6339</v>
      </c>
      <c r="BW183" s="10">
        <f t="shared" si="50"/>
        <v>35672</v>
      </c>
      <c r="BX183" s="10">
        <f t="shared" si="51"/>
        <v>20000</v>
      </c>
      <c r="BY183" s="14">
        <v>60992</v>
      </c>
      <c r="BZ183" s="14">
        <v>0</v>
      </c>
      <c r="CA183" s="14">
        <v>13</v>
      </c>
      <c r="CB183" s="14">
        <v>60979</v>
      </c>
      <c r="CC183" s="14">
        <v>14336</v>
      </c>
      <c r="CD183" s="14">
        <v>537</v>
      </c>
      <c r="CE183" s="14">
        <v>45955</v>
      </c>
      <c r="CF183" s="14">
        <v>0</v>
      </c>
      <c r="CG183" s="14">
        <v>0</v>
      </c>
      <c r="CH183" s="14">
        <v>0</v>
      </c>
      <c r="CI183" s="14">
        <v>164</v>
      </c>
      <c r="CJ183" s="14">
        <f t="shared" si="52"/>
        <v>164</v>
      </c>
      <c r="CK183" s="14">
        <v>30451</v>
      </c>
      <c r="CL183" s="14">
        <v>30541</v>
      </c>
      <c r="CM183" s="14">
        <v>37004</v>
      </c>
      <c r="CN183" s="11">
        <f t="shared" si="53"/>
        <v>0.60670251836306399</v>
      </c>
      <c r="CO183" s="14">
        <v>23988</v>
      </c>
      <c r="CP183" s="11">
        <f t="shared" si="54"/>
        <v>0.39329748163693601</v>
      </c>
      <c r="CQ183" s="29">
        <v>3973</v>
      </c>
      <c r="CR183" s="29">
        <v>32794</v>
      </c>
      <c r="CS183" s="29">
        <v>15575</v>
      </c>
      <c r="CT183" s="29">
        <v>7165</v>
      </c>
      <c r="CU183" s="45">
        <v>14229</v>
      </c>
      <c r="CV183" s="45">
        <v>5578</v>
      </c>
      <c r="CW183" s="45">
        <v>6125</v>
      </c>
      <c r="CX183" s="45">
        <v>1488</v>
      </c>
      <c r="CY183" s="45">
        <v>1038</v>
      </c>
      <c r="CZ183" s="45">
        <v>174</v>
      </c>
      <c r="DA183" s="45">
        <v>145</v>
      </c>
      <c r="DB183" s="45">
        <v>118</v>
      </c>
      <c r="DC183" s="45">
        <v>109</v>
      </c>
    </row>
    <row r="184" spans="1:107" x14ac:dyDescent="0.35">
      <c r="A184" s="1" t="s">
        <v>1132</v>
      </c>
      <c r="B184" s="5" t="s">
        <v>0</v>
      </c>
      <c r="C184" s="3" t="s">
        <v>1221</v>
      </c>
      <c r="D184" s="4" t="s">
        <v>1222</v>
      </c>
      <c r="E184" s="27"/>
      <c r="F184" s="5">
        <v>37</v>
      </c>
      <c r="G184" s="2">
        <v>0.66964026203411808</v>
      </c>
      <c r="H184" s="2" t="s">
        <v>1276</v>
      </c>
      <c r="I184" s="8" t="s">
        <v>4</v>
      </c>
      <c r="J184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RONALD KIANDEE </v>
      </c>
      <c r="K184" s="8">
        <v>9709</v>
      </c>
      <c r="L184" s="8" t="s">
        <v>8</v>
      </c>
      <c r="M184" s="7" t="s">
        <v>1224</v>
      </c>
      <c r="N184" s="8">
        <v>4460</v>
      </c>
      <c r="O184" s="8" t="s">
        <v>1176</v>
      </c>
      <c r="P184" s="7" t="s">
        <v>1225</v>
      </c>
      <c r="Q184" s="8">
        <v>11303</v>
      </c>
      <c r="R184" s="8" t="s">
        <v>18</v>
      </c>
      <c r="S184" s="7" t="s">
        <v>1223</v>
      </c>
      <c r="T184" s="15">
        <v>1594</v>
      </c>
      <c r="U184" s="10">
        <v>0</v>
      </c>
      <c r="V184" s="10">
        <v>0</v>
      </c>
      <c r="W184" s="10">
        <v>1</v>
      </c>
      <c r="X184" s="10">
        <v>15743</v>
      </c>
      <c r="Y184" s="12" t="s">
        <v>14</v>
      </c>
      <c r="Z184" s="12" t="s">
        <v>1277</v>
      </c>
      <c r="AA184" s="13" t="s">
        <v>1226</v>
      </c>
      <c r="AB184" s="14">
        <v>7115</v>
      </c>
      <c r="AC184" s="15" t="s">
        <v>1227</v>
      </c>
      <c r="AD184" s="28">
        <v>19196</v>
      </c>
      <c r="AE184" s="14">
        <v>13007</v>
      </c>
      <c r="AF184" s="14"/>
      <c r="AG184" s="14">
        <v>5892</v>
      </c>
      <c r="AH184" s="14" t="s">
        <v>17</v>
      </c>
      <c r="AI184" s="15" t="s">
        <v>1131</v>
      </c>
      <c r="AJ184" s="14">
        <v>1</v>
      </c>
      <c r="AK184" s="14">
        <v>0</v>
      </c>
      <c r="AL184" s="14">
        <v>0</v>
      </c>
      <c r="AM184" s="51">
        <v>28509</v>
      </c>
      <c r="AN184" s="51">
        <v>1844</v>
      </c>
      <c r="AO184" s="51">
        <v>281</v>
      </c>
      <c r="AP184" s="51">
        <v>60</v>
      </c>
      <c r="AQ184" s="51">
        <v>1036</v>
      </c>
      <c r="AR184" s="51">
        <v>24922</v>
      </c>
      <c r="AS184" s="51">
        <v>365</v>
      </c>
      <c r="AT184" s="51">
        <v>1</v>
      </c>
      <c r="AU184" s="51">
        <v>14566</v>
      </c>
      <c r="AV184" s="51">
        <v>13943</v>
      </c>
      <c r="AW184" s="51">
        <v>12458</v>
      </c>
      <c r="AX184" s="51">
        <v>16051</v>
      </c>
      <c r="AY184" s="14">
        <v>11090.333333333334</v>
      </c>
      <c r="AZ184" s="14">
        <v>44727</v>
      </c>
      <c r="BA184" s="14">
        <v>0</v>
      </c>
      <c r="BB184" s="14">
        <v>177</v>
      </c>
      <c r="BC184" s="14">
        <v>44550</v>
      </c>
      <c r="BD184" s="14">
        <v>21161</v>
      </c>
      <c r="BE184" s="11">
        <v>0.47311467346345609</v>
      </c>
      <c r="BF184" s="14">
        <v>400</v>
      </c>
      <c r="BG184" s="11">
        <v>8.9431439622599321E-3</v>
      </c>
      <c r="BH184" s="14">
        <v>22496</v>
      </c>
      <c r="BI184" s="11">
        <v>0.50296241643749862</v>
      </c>
      <c r="BJ184" s="14">
        <v>0</v>
      </c>
      <c r="BK184" s="14">
        <v>0</v>
      </c>
      <c r="BL184" s="14">
        <v>0</v>
      </c>
      <c r="BM184" s="14">
        <v>670</v>
      </c>
      <c r="BN184" s="14">
        <v>670</v>
      </c>
      <c r="BO184" s="11">
        <f>Table14[[#This Row],[Base_Stock_GE15]]/Table14[[#This Row],[All_Voters_GE15]]</f>
        <v>0.35197978849464528</v>
      </c>
      <c r="BP184" s="14">
        <v>4514</v>
      </c>
      <c r="BQ184" s="10">
        <v>16720</v>
      </c>
      <c r="BR184" s="44">
        <v>9900</v>
      </c>
      <c r="BS184" s="10">
        <v>3307</v>
      </c>
      <c r="BT184" s="10">
        <v>23493</v>
      </c>
      <c r="BU184" s="10">
        <v>12175</v>
      </c>
      <c r="BV184" s="10">
        <v>5752</v>
      </c>
      <c r="BW184" s="10">
        <f t="shared" si="50"/>
        <v>26800</v>
      </c>
      <c r="BX184" s="10">
        <f t="shared" si="51"/>
        <v>17927</v>
      </c>
      <c r="BY184" s="14">
        <v>48524</v>
      </c>
      <c r="BZ184" s="14">
        <v>0</v>
      </c>
      <c r="CA184" s="14">
        <v>240</v>
      </c>
      <c r="CB184" s="14">
        <v>48284</v>
      </c>
      <c r="CC184" s="14">
        <v>24621</v>
      </c>
      <c r="CD184" s="14">
        <v>406</v>
      </c>
      <c r="CE184" s="14">
        <v>23144</v>
      </c>
      <c r="CF184" s="14">
        <v>0</v>
      </c>
      <c r="CG184" s="14">
        <v>0</v>
      </c>
      <c r="CH184" s="14">
        <v>0</v>
      </c>
      <c r="CI184" s="14">
        <v>353</v>
      </c>
      <c r="CJ184" s="14">
        <f t="shared" si="52"/>
        <v>353</v>
      </c>
      <c r="CK184" s="14">
        <v>24797</v>
      </c>
      <c r="CL184" s="14">
        <v>23727</v>
      </c>
      <c r="CM184" s="14">
        <v>27868</v>
      </c>
      <c r="CN184" s="11">
        <f t="shared" si="53"/>
        <v>0.57431374165361471</v>
      </c>
      <c r="CO184" s="14">
        <v>20656</v>
      </c>
      <c r="CP184" s="11">
        <f t="shared" si="54"/>
        <v>0.42568625834638529</v>
      </c>
      <c r="CQ184" s="29">
        <v>2853</v>
      </c>
      <c r="CR184" s="29">
        <v>24594</v>
      </c>
      <c r="CS184" s="29">
        <v>13643</v>
      </c>
      <c r="CT184" s="29">
        <v>6219</v>
      </c>
      <c r="CU184" s="45">
        <v>19600</v>
      </c>
      <c r="CV184" s="45">
        <v>8085</v>
      </c>
      <c r="CW184" s="45">
        <v>7940</v>
      </c>
      <c r="CX184" s="45">
        <v>2415</v>
      </c>
      <c r="CY184" s="45">
        <v>1160</v>
      </c>
      <c r="CZ184" s="45">
        <v>235</v>
      </c>
      <c r="DA184" s="45">
        <v>234</v>
      </c>
      <c r="DB184" s="45">
        <v>212</v>
      </c>
      <c r="DC184" s="45">
        <v>148</v>
      </c>
    </row>
    <row r="185" spans="1:107" x14ac:dyDescent="0.35">
      <c r="A185" s="1" t="s">
        <v>1132</v>
      </c>
      <c r="B185" s="5" t="s">
        <v>0</v>
      </c>
      <c r="C185" s="3" t="s">
        <v>1228</v>
      </c>
      <c r="D185" s="4" t="s">
        <v>1229</v>
      </c>
      <c r="E185" s="27"/>
      <c r="F185" s="5">
        <v>25</v>
      </c>
      <c r="G185" s="2">
        <v>0.63086877177459488</v>
      </c>
      <c r="H185" s="2" t="s">
        <v>1276</v>
      </c>
      <c r="I185" s="8" t="s">
        <v>6</v>
      </c>
      <c r="J185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SUHAIMI BIN NASIR </v>
      </c>
      <c r="K185" s="8">
        <v>22969</v>
      </c>
      <c r="L185" s="8" t="s">
        <v>8</v>
      </c>
      <c r="M185" s="7" t="s">
        <v>1230</v>
      </c>
      <c r="N185" s="8">
        <v>10351</v>
      </c>
      <c r="O185" s="8" t="s">
        <v>1176</v>
      </c>
      <c r="P185" s="7" t="s">
        <v>1231</v>
      </c>
      <c r="Q185" s="8">
        <v>0</v>
      </c>
      <c r="R185" s="8">
        <v>0</v>
      </c>
      <c r="S185" s="7">
        <v>0</v>
      </c>
      <c r="T185" s="15">
        <v>12618</v>
      </c>
      <c r="U185" s="10">
        <v>1</v>
      </c>
      <c r="V185" s="10">
        <v>0</v>
      </c>
      <c r="W185" s="10">
        <v>0</v>
      </c>
      <c r="X185" s="10">
        <v>35236</v>
      </c>
      <c r="Y185" s="12" t="s">
        <v>14</v>
      </c>
      <c r="Z185" s="12" t="s">
        <v>1277</v>
      </c>
      <c r="AA185" s="13" t="s">
        <v>1232</v>
      </c>
      <c r="AB185" s="14">
        <v>678</v>
      </c>
      <c r="AC185" s="15" t="s">
        <v>175</v>
      </c>
      <c r="AD185" s="28">
        <v>31332</v>
      </c>
      <c r="AE185" s="14">
        <v>17799</v>
      </c>
      <c r="AF185" s="14"/>
      <c r="AG185" s="14">
        <v>17121</v>
      </c>
      <c r="AH185" s="14" t="s">
        <v>17</v>
      </c>
      <c r="AI185" s="15" t="s">
        <v>1131</v>
      </c>
      <c r="AJ185" s="14">
        <v>1</v>
      </c>
      <c r="AK185" s="14">
        <v>0</v>
      </c>
      <c r="AL185" s="14">
        <v>0</v>
      </c>
      <c r="AM185" s="51">
        <v>47914</v>
      </c>
      <c r="AN185" s="51">
        <v>6902</v>
      </c>
      <c r="AO185" s="51">
        <v>8222</v>
      </c>
      <c r="AP185" s="51">
        <v>205</v>
      </c>
      <c r="AQ185" s="51">
        <v>4798</v>
      </c>
      <c r="AR185" s="51">
        <v>27221</v>
      </c>
      <c r="AS185" s="51">
        <v>561</v>
      </c>
      <c r="AT185" s="51">
        <v>5</v>
      </c>
      <c r="AU185" s="51">
        <v>24267</v>
      </c>
      <c r="AV185" s="51">
        <v>23647</v>
      </c>
      <c r="AW185" s="51">
        <v>22560</v>
      </c>
      <c r="AX185" s="51">
        <v>25354</v>
      </c>
      <c r="AY185" s="14">
        <v>17017</v>
      </c>
      <c r="AZ185" s="14">
        <v>72332</v>
      </c>
      <c r="BA185" s="14">
        <v>2</v>
      </c>
      <c r="BB185" s="14">
        <v>1935</v>
      </c>
      <c r="BC185" s="14">
        <v>70395</v>
      </c>
      <c r="BD185" s="14">
        <v>55041</v>
      </c>
      <c r="BE185" s="11">
        <v>0.760949510590057</v>
      </c>
      <c r="BF185" s="14">
        <v>10781</v>
      </c>
      <c r="BG185" s="11">
        <v>0.14904883039318698</v>
      </c>
      <c r="BH185" s="14">
        <v>5301</v>
      </c>
      <c r="BI185" s="11">
        <v>7.3287065199358514E-2</v>
      </c>
      <c r="BJ185" s="14">
        <v>0</v>
      </c>
      <c r="BK185" s="14">
        <v>0</v>
      </c>
      <c r="BL185" s="14">
        <v>0</v>
      </c>
      <c r="BM185" s="14">
        <v>1209</v>
      </c>
      <c r="BN185" s="14">
        <v>1209</v>
      </c>
      <c r="BO185" s="11">
        <f>Table14[[#This Row],[Base_Stock_GE15]]/Table14[[#This Row],[All_Voters_GE15]]</f>
        <v>0.48714262014046344</v>
      </c>
      <c r="BP185" s="14">
        <v>22793</v>
      </c>
      <c r="BQ185" s="10">
        <v>25231</v>
      </c>
      <c r="BR185" s="44">
        <v>15677</v>
      </c>
      <c r="BS185" s="10">
        <v>5345</v>
      </c>
      <c r="BT185" s="10">
        <v>38072</v>
      </c>
      <c r="BU185" s="10">
        <v>19933</v>
      </c>
      <c r="BV185" s="10">
        <v>8982</v>
      </c>
      <c r="BW185" s="10">
        <f t="shared" si="50"/>
        <v>43417</v>
      </c>
      <c r="BX185" s="10">
        <f t="shared" si="51"/>
        <v>28915</v>
      </c>
      <c r="BY185" s="14">
        <v>77120</v>
      </c>
      <c r="BZ185" s="14">
        <v>0</v>
      </c>
      <c r="CA185" s="14">
        <v>1766</v>
      </c>
      <c r="CB185" s="14">
        <v>75354</v>
      </c>
      <c r="CC185" s="14">
        <v>60471</v>
      </c>
      <c r="CD185" s="14">
        <v>10750</v>
      </c>
      <c r="CE185" s="14">
        <v>4720</v>
      </c>
      <c r="CF185" s="14">
        <v>0</v>
      </c>
      <c r="CG185" s="14">
        <v>0</v>
      </c>
      <c r="CH185" s="14">
        <v>0</v>
      </c>
      <c r="CI185" s="14">
        <v>1179</v>
      </c>
      <c r="CJ185" s="14">
        <f t="shared" si="52"/>
        <v>1179</v>
      </c>
      <c r="CK185" s="14">
        <v>39571</v>
      </c>
      <c r="CL185" s="14">
        <v>37549</v>
      </c>
      <c r="CM185" s="14">
        <v>44224</v>
      </c>
      <c r="CN185" s="11">
        <f t="shared" si="53"/>
        <v>0.57344398340248959</v>
      </c>
      <c r="CO185" s="14">
        <v>32896</v>
      </c>
      <c r="CP185" s="11">
        <f t="shared" si="54"/>
        <v>0.42655601659751036</v>
      </c>
      <c r="CQ185" s="29">
        <v>4756</v>
      </c>
      <c r="CR185" s="29">
        <v>39169</v>
      </c>
      <c r="CS185" s="29">
        <v>21846</v>
      </c>
      <c r="CT185" s="29">
        <v>9915</v>
      </c>
      <c r="CU185" s="45">
        <v>44119</v>
      </c>
      <c r="CV185" s="45">
        <v>15541</v>
      </c>
      <c r="CW185" s="45">
        <v>16285</v>
      </c>
      <c r="CX185" s="45">
        <v>7249</v>
      </c>
      <c r="CY185" s="45">
        <v>5044</v>
      </c>
      <c r="CZ185" s="45">
        <v>169</v>
      </c>
      <c r="DA185" s="45">
        <v>169</v>
      </c>
      <c r="DB185" s="45">
        <v>168</v>
      </c>
      <c r="DC185" s="45">
        <v>167</v>
      </c>
    </row>
    <row r="186" spans="1:107" x14ac:dyDescent="0.35">
      <c r="A186" s="1" t="s">
        <v>1132</v>
      </c>
      <c r="B186" s="5" t="s">
        <v>0</v>
      </c>
      <c r="C186" s="3" t="s">
        <v>1233</v>
      </c>
      <c r="D186" s="4" t="s">
        <v>1234</v>
      </c>
      <c r="E186" s="27"/>
      <c r="F186" s="5">
        <v>13</v>
      </c>
      <c r="G186" s="2">
        <v>0.62865470443574101</v>
      </c>
      <c r="H186" s="2" t="s">
        <v>1276</v>
      </c>
      <c r="I186" s="8" t="s">
        <v>1135</v>
      </c>
      <c r="J186" s="7" t="s">
        <v>1376</v>
      </c>
      <c r="K186" s="8">
        <v>0</v>
      </c>
      <c r="L186" s="8">
        <v>0</v>
      </c>
      <c r="M186" s="7">
        <v>0</v>
      </c>
      <c r="N186" s="8">
        <v>7331</v>
      </c>
      <c r="O186" s="8" t="s">
        <v>102</v>
      </c>
      <c r="P186" s="7" t="s">
        <v>1235</v>
      </c>
      <c r="Q186" s="8">
        <v>0</v>
      </c>
      <c r="R186" s="8">
        <v>0</v>
      </c>
      <c r="S186" s="7">
        <v>0</v>
      </c>
      <c r="T186" s="15">
        <v>4821</v>
      </c>
      <c r="U186" s="10">
        <v>0</v>
      </c>
      <c r="V186" s="10">
        <v>0</v>
      </c>
      <c r="W186" s="10">
        <v>0</v>
      </c>
      <c r="X186" s="10">
        <v>18</v>
      </c>
      <c r="Y186" s="12" t="s">
        <v>1131</v>
      </c>
      <c r="Z186" s="12" t="s">
        <v>1277</v>
      </c>
      <c r="AA186" s="13" t="s">
        <v>1236</v>
      </c>
      <c r="AB186" s="14">
        <v>4619</v>
      </c>
      <c r="AC186" s="15" t="s">
        <v>1237</v>
      </c>
      <c r="AD186" s="28">
        <v>15241</v>
      </c>
      <c r="AE186" s="14">
        <v>8357</v>
      </c>
      <c r="AF186" s="14">
        <v>948</v>
      </c>
      <c r="AG186" s="14">
        <v>980</v>
      </c>
      <c r="AH186" s="14" t="s">
        <v>1147</v>
      </c>
      <c r="AI186" s="15" t="s">
        <v>10</v>
      </c>
      <c r="AJ186" s="14">
        <v>0</v>
      </c>
      <c r="AK186" s="14">
        <v>0</v>
      </c>
      <c r="AL186" s="14">
        <v>0</v>
      </c>
      <c r="AM186" s="51">
        <v>32574</v>
      </c>
      <c r="AN186" s="51">
        <v>4279</v>
      </c>
      <c r="AO186" s="51">
        <v>10057</v>
      </c>
      <c r="AP186" s="51">
        <v>140</v>
      </c>
      <c r="AQ186" s="51">
        <v>2864</v>
      </c>
      <c r="AR186" s="51">
        <v>14941</v>
      </c>
      <c r="AS186" s="51">
        <v>284</v>
      </c>
      <c r="AT186" s="51">
        <v>9</v>
      </c>
      <c r="AU186" s="51">
        <v>16956</v>
      </c>
      <c r="AV186" s="51">
        <v>15618</v>
      </c>
      <c r="AW186" s="51">
        <v>13711</v>
      </c>
      <c r="AX186" s="51">
        <v>18863</v>
      </c>
      <c r="AY186" s="14">
        <v>10307</v>
      </c>
      <c r="AZ186" s="14">
        <v>43916</v>
      </c>
      <c r="BA186" s="14">
        <v>0</v>
      </c>
      <c r="BB186" s="14">
        <v>774</v>
      </c>
      <c r="BC186" s="14">
        <v>43142</v>
      </c>
      <c r="BD186" s="14">
        <v>29393</v>
      </c>
      <c r="BE186" s="11">
        <v>0.66930048273977594</v>
      </c>
      <c r="BF186" s="14">
        <v>12026</v>
      </c>
      <c r="BG186" s="11">
        <v>0.27384096912287093</v>
      </c>
      <c r="BH186" s="14">
        <v>1893</v>
      </c>
      <c r="BI186" s="11">
        <v>4.3105018672010199E-2</v>
      </c>
      <c r="BJ186" s="14">
        <v>0</v>
      </c>
      <c r="BK186" s="14">
        <v>0</v>
      </c>
      <c r="BL186" s="14">
        <v>0</v>
      </c>
      <c r="BM186" s="14">
        <v>604</v>
      </c>
      <c r="BN186" s="14">
        <v>604</v>
      </c>
      <c r="BO186" s="11">
        <f>Table14[[#This Row],[Base_Stock_GE15]]/Table14[[#This Row],[All_Voters_GE15]]</f>
        <v>4.0987339466253757E-4</v>
      </c>
      <c r="BP186" s="14">
        <v>0</v>
      </c>
      <c r="BQ186" s="10">
        <v>13970</v>
      </c>
      <c r="BR186" s="44">
        <v>8323</v>
      </c>
      <c r="BS186" s="10">
        <v>2770</v>
      </c>
      <c r="BT186" s="10">
        <v>21221</v>
      </c>
      <c r="BU186" s="10">
        <v>12360</v>
      </c>
      <c r="BV186" s="10">
        <v>7565</v>
      </c>
      <c r="BW186" s="10">
        <f t="shared" si="50"/>
        <v>23991</v>
      </c>
      <c r="BX186" s="10">
        <f t="shared" si="51"/>
        <v>19925</v>
      </c>
      <c r="BY186" s="14">
        <v>47575</v>
      </c>
      <c r="BZ186" s="14">
        <v>0</v>
      </c>
      <c r="CA186" s="14">
        <v>1438</v>
      </c>
      <c r="CB186" s="14">
        <v>46137</v>
      </c>
      <c r="CC186" s="14">
        <v>33087</v>
      </c>
      <c r="CD186" s="14">
        <v>12157</v>
      </c>
      <c r="CE186" s="14">
        <v>1746</v>
      </c>
      <c r="CF186" s="14">
        <v>0</v>
      </c>
      <c r="CG186" s="14">
        <v>0</v>
      </c>
      <c r="CH186" s="14">
        <v>0</v>
      </c>
      <c r="CI186" s="14">
        <v>585</v>
      </c>
      <c r="CJ186" s="14">
        <f t="shared" si="52"/>
        <v>585</v>
      </c>
      <c r="CK186" s="14">
        <v>24717</v>
      </c>
      <c r="CL186" s="14">
        <v>22858</v>
      </c>
      <c r="CM186" s="14">
        <v>25510</v>
      </c>
      <c r="CN186" s="11">
        <f t="shared" si="53"/>
        <v>0.53620599054125062</v>
      </c>
      <c r="CO186" s="14">
        <v>22065</v>
      </c>
      <c r="CP186" s="11">
        <f t="shared" si="54"/>
        <v>0.46379400945874932</v>
      </c>
      <c r="CQ186" s="29">
        <v>2255</v>
      </c>
      <c r="CR186" s="29">
        <v>22636</v>
      </c>
      <c r="CS186" s="29">
        <v>13176</v>
      </c>
      <c r="CT186" s="29">
        <v>8171</v>
      </c>
      <c r="CU186" s="45">
        <v>25881</v>
      </c>
      <c r="CV186" s="45">
        <v>11199</v>
      </c>
      <c r="CW186" s="45">
        <v>9032</v>
      </c>
      <c r="CX186" s="45">
        <v>3309</v>
      </c>
      <c r="CY186" s="45">
        <v>2341</v>
      </c>
      <c r="CZ186" s="45">
        <v>215</v>
      </c>
      <c r="DA186" s="45">
        <v>213</v>
      </c>
      <c r="DB186" s="45">
        <v>186</v>
      </c>
      <c r="DC186" s="45">
        <v>177</v>
      </c>
    </row>
    <row r="187" spans="1:107" x14ac:dyDescent="0.35">
      <c r="A187" s="1" t="s">
        <v>1132</v>
      </c>
      <c r="B187" s="5" t="s">
        <v>0</v>
      </c>
      <c r="C187" s="3" t="s">
        <v>1238</v>
      </c>
      <c r="D187" s="4" t="s">
        <v>1239</v>
      </c>
      <c r="E187" s="27"/>
      <c r="F187" s="5">
        <v>17</v>
      </c>
      <c r="G187" s="2">
        <v>0.56773252673652375</v>
      </c>
      <c r="H187" s="2" t="s">
        <v>1276</v>
      </c>
      <c r="I187" s="8" t="s">
        <v>7</v>
      </c>
      <c r="J187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VIVIAN WONG SHIR YEE </v>
      </c>
      <c r="K187" s="8">
        <v>0</v>
      </c>
      <c r="L187" s="8">
        <v>0</v>
      </c>
      <c r="M187" s="7">
        <v>0</v>
      </c>
      <c r="N187" s="8">
        <v>16673</v>
      </c>
      <c r="O187" s="8" t="s">
        <v>102</v>
      </c>
      <c r="P187" s="7" t="s">
        <v>1240</v>
      </c>
      <c r="Q187" s="8">
        <v>0</v>
      </c>
      <c r="R187" s="8">
        <v>0</v>
      </c>
      <c r="S187" s="7">
        <v>0</v>
      </c>
      <c r="T187" s="15">
        <v>11031</v>
      </c>
      <c r="U187" s="10">
        <v>0</v>
      </c>
      <c r="V187" s="10">
        <v>1</v>
      </c>
      <c r="W187" s="10">
        <v>0</v>
      </c>
      <c r="X187" s="10">
        <v>7</v>
      </c>
      <c r="Y187" s="12" t="s">
        <v>319</v>
      </c>
      <c r="Z187" s="12" t="s">
        <v>1277</v>
      </c>
      <c r="AA187" s="13" t="s">
        <v>1241</v>
      </c>
      <c r="AB187" s="14">
        <v>10098</v>
      </c>
      <c r="AC187" s="15" t="s">
        <v>1242</v>
      </c>
      <c r="AD187" s="28">
        <v>20930</v>
      </c>
      <c r="AE187" s="14">
        <v>8996</v>
      </c>
      <c r="AF187" s="14"/>
      <c r="AG187" s="14">
        <v>19094</v>
      </c>
      <c r="AH187" s="14" t="s">
        <v>1243</v>
      </c>
      <c r="AI187" s="15" t="s">
        <v>321</v>
      </c>
      <c r="AJ187" s="14">
        <v>0</v>
      </c>
      <c r="AK187" s="14">
        <v>1</v>
      </c>
      <c r="AL187" s="14">
        <v>0</v>
      </c>
      <c r="AM187" s="51">
        <v>39777</v>
      </c>
      <c r="AN187" s="51">
        <v>3068</v>
      </c>
      <c r="AO187" s="51">
        <v>20160</v>
      </c>
      <c r="AP187" s="51">
        <v>317</v>
      </c>
      <c r="AQ187" s="51">
        <v>2387</v>
      </c>
      <c r="AR187" s="51">
        <v>13591</v>
      </c>
      <c r="AS187" s="51">
        <v>249</v>
      </c>
      <c r="AT187" s="51">
        <v>5</v>
      </c>
      <c r="AU187" s="51">
        <v>19700</v>
      </c>
      <c r="AV187" s="51">
        <v>20077</v>
      </c>
      <c r="AW187" s="51">
        <v>14270</v>
      </c>
      <c r="AX187" s="51">
        <v>25507</v>
      </c>
      <c r="AY187" s="14">
        <v>10143.666666666666</v>
      </c>
      <c r="AZ187" s="14">
        <v>55542</v>
      </c>
      <c r="BA187" s="14">
        <v>5</v>
      </c>
      <c r="BB187" s="14">
        <v>371</v>
      </c>
      <c r="BC187" s="14">
        <v>55166</v>
      </c>
      <c r="BD187" s="14">
        <v>27491</v>
      </c>
      <c r="BE187" s="11">
        <v>0.49495876993986532</v>
      </c>
      <c r="BF187" s="14">
        <v>23477</v>
      </c>
      <c r="BG187" s="11">
        <v>0.42268913614922043</v>
      </c>
      <c r="BH187" s="14">
        <v>3399</v>
      </c>
      <c r="BI187" s="11">
        <v>6.1196932051420544E-2</v>
      </c>
      <c r="BJ187" s="14">
        <v>0</v>
      </c>
      <c r="BK187" s="14">
        <v>0</v>
      </c>
      <c r="BL187" s="14">
        <v>0</v>
      </c>
      <c r="BM187" s="14">
        <v>1175</v>
      </c>
      <c r="BN187" s="14">
        <v>1175</v>
      </c>
      <c r="BO187" s="11">
        <f>Table14[[#This Row],[Base_Stock_GE15]]/Table14[[#This Row],[All_Voters_GE15]]</f>
        <v>1.2603075150336682E-4</v>
      </c>
      <c r="BP187" s="14">
        <v>0</v>
      </c>
      <c r="BQ187" s="10">
        <v>17869</v>
      </c>
      <c r="BR187" s="44">
        <v>9936</v>
      </c>
      <c r="BS187" s="10">
        <v>3313</v>
      </c>
      <c r="BT187" s="10">
        <v>24907</v>
      </c>
      <c r="BU187" s="10">
        <v>16000</v>
      </c>
      <c r="BV187" s="10">
        <v>11322</v>
      </c>
      <c r="BW187" s="10">
        <f t="shared" si="50"/>
        <v>28220</v>
      </c>
      <c r="BX187" s="10">
        <f t="shared" si="51"/>
        <v>27322</v>
      </c>
      <c r="BY187" s="14">
        <v>55867</v>
      </c>
      <c r="BZ187" s="14">
        <v>0</v>
      </c>
      <c r="CA187" s="14">
        <v>433</v>
      </c>
      <c r="CB187" s="14">
        <v>55434</v>
      </c>
      <c r="CC187" s="14">
        <v>28998</v>
      </c>
      <c r="CD187" s="14">
        <v>22618</v>
      </c>
      <c r="CE187" s="14">
        <v>3161</v>
      </c>
      <c r="CF187" s="14">
        <v>0</v>
      </c>
      <c r="CG187" s="14">
        <v>0</v>
      </c>
      <c r="CH187" s="14">
        <v>0</v>
      </c>
      <c r="CI187" s="14">
        <v>1090</v>
      </c>
      <c r="CJ187" s="14">
        <f t="shared" si="52"/>
        <v>1090</v>
      </c>
      <c r="CK187" s="14">
        <v>28188</v>
      </c>
      <c r="CL187" s="14">
        <v>27679</v>
      </c>
      <c r="CM187" s="14">
        <v>27393</v>
      </c>
      <c r="CN187" s="11">
        <f t="shared" si="53"/>
        <v>0.49032523672293127</v>
      </c>
      <c r="CO187" s="14">
        <v>28474</v>
      </c>
      <c r="CP187" s="11">
        <f t="shared" si="54"/>
        <v>0.50967476327706873</v>
      </c>
      <c r="CQ187" s="29">
        <v>2487</v>
      </c>
      <c r="CR187" s="29">
        <v>25063</v>
      </c>
      <c r="CS187" s="29">
        <v>16150</v>
      </c>
      <c r="CT187" s="29">
        <v>12030</v>
      </c>
      <c r="CU187" s="45">
        <v>10683</v>
      </c>
      <c r="CV187" s="45">
        <v>4085</v>
      </c>
      <c r="CW187" s="45">
        <v>4220</v>
      </c>
      <c r="CX187" s="45">
        <v>1409</v>
      </c>
      <c r="CY187" s="45">
        <v>969</v>
      </c>
      <c r="CZ187" s="45">
        <v>70</v>
      </c>
      <c r="DA187" s="45">
        <v>70</v>
      </c>
      <c r="DB187" s="45">
        <v>70</v>
      </c>
      <c r="DC187" s="45">
        <v>67</v>
      </c>
    </row>
    <row r="188" spans="1:107" x14ac:dyDescent="0.35">
      <c r="A188" s="1" t="s">
        <v>1132</v>
      </c>
      <c r="B188" s="5" t="s">
        <v>0</v>
      </c>
      <c r="C188" s="3" t="s">
        <v>1244</v>
      </c>
      <c r="D188" s="4" t="s">
        <v>1245</v>
      </c>
      <c r="E188" s="27"/>
      <c r="F188" s="5">
        <v>27</v>
      </c>
      <c r="G188" s="2">
        <v>0.66741116297768743</v>
      </c>
      <c r="H188" s="2" t="s">
        <v>1276</v>
      </c>
      <c r="I188" s="30" t="s">
        <v>6</v>
      </c>
      <c r="J188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BUNG MOKTAR BIN RADIN </v>
      </c>
      <c r="K188" s="8">
        <v>16842</v>
      </c>
      <c r="L188" s="8" t="s">
        <v>8</v>
      </c>
      <c r="M188" s="7" t="s">
        <v>1246</v>
      </c>
      <c r="N188" s="8">
        <v>0</v>
      </c>
      <c r="O188" s="8">
        <v>0</v>
      </c>
      <c r="P188" s="7">
        <v>0</v>
      </c>
      <c r="Q188" s="8">
        <v>0</v>
      </c>
      <c r="R188" s="8">
        <v>0</v>
      </c>
      <c r="S188" s="7">
        <v>0</v>
      </c>
      <c r="T188" s="15">
        <v>4330</v>
      </c>
      <c r="U188" s="10">
        <v>1</v>
      </c>
      <c r="V188" s="10">
        <v>0</v>
      </c>
      <c r="W188" s="10">
        <v>0</v>
      </c>
      <c r="X188" s="10">
        <v>33072</v>
      </c>
      <c r="Y188" s="12" t="s">
        <v>14</v>
      </c>
      <c r="Z188" s="12" t="s">
        <v>1277</v>
      </c>
      <c r="AA188" s="13" t="s">
        <v>1247</v>
      </c>
      <c r="AB188" s="14">
        <v>9478</v>
      </c>
      <c r="AC188" s="15" t="s">
        <v>1248</v>
      </c>
      <c r="AD188" s="28">
        <v>19420</v>
      </c>
      <c r="AE188" s="14">
        <v>14465</v>
      </c>
      <c r="AF188" s="14"/>
      <c r="AG188" s="14">
        <v>4987</v>
      </c>
      <c r="AH188" s="14" t="s">
        <v>17</v>
      </c>
      <c r="AI188" s="15" t="s">
        <v>1131</v>
      </c>
      <c r="AJ188" s="14">
        <v>1</v>
      </c>
      <c r="AK188" s="14">
        <v>0</v>
      </c>
      <c r="AL188" s="14">
        <v>0</v>
      </c>
      <c r="AM188" s="51">
        <v>28730</v>
      </c>
      <c r="AN188" s="51">
        <v>1957</v>
      </c>
      <c r="AO188" s="51">
        <v>210</v>
      </c>
      <c r="AP188" s="51">
        <v>51</v>
      </c>
      <c r="AQ188" s="51">
        <v>1383</v>
      </c>
      <c r="AR188" s="51">
        <v>24847</v>
      </c>
      <c r="AS188" s="51">
        <v>279</v>
      </c>
      <c r="AT188" s="51">
        <v>3</v>
      </c>
      <c r="AU188" s="51">
        <v>14944</v>
      </c>
      <c r="AV188" s="51">
        <v>13786</v>
      </c>
      <c r="AW188" s="51">
        <v>12573</v>
      </c>
      <c r="AX188" s="51">
        <v>16157</v>
      </c>
      <c r="AY188" s="14">
        <v>12116.333333333334</v>
      </c>
      <c r="AZ188" s="14">
        <v>44773</v>
      </c>
      <c r="BA188" s="14">
        <v>0</v>
      </c>
      <c r="BB188" s="14">
        <v>217</v>
      </c>
      <c r="BC188" s="14">
        <v>44556</v>
      </c>
      <c r="BD188" s="14">
        <v>26605</v>
      </c>
      <c r="BE188" s="11">
        <v>0.59421973064123468</v>
      </c>
      <c r="BF188" s="14">
        <v>307</v>
      </c>
      <c r="BG188" s="11">
        <v>6.856811024501374E-3</v>
      </c>
      <c r="BH188" s="14">
        <v>17254</v>
      </c>
      <c r="BI188" s="11">
        <v>0.38536618051057558</v>
      </c>
      <c r="BJ188" s="14">
        <v>0</v>
      </c>
      <c r="BK188" s="14">
        <v>0</v>
      </c>
      <c r="BL188" s="14">
        <v>0</v>
      </c>
      <c r="BM188" s="14">
        <v>607</v>
      </c>
      <c r="BN188" s="14">
        <v>607</v>
      </c>
      <c r="BO188" s="11">
        <f>Table14[[#This Row],[Base_Stock_GE15]]/Table14[[#This Row],[All_Voters_GE15]]</f>
        <v>0.73865945994237603</v>
      </c>
      <c r="BP188" s="14">
        <v>15887</v>
      </c>
      <c r="BQ188" s="10">
        <v>16632</v>
      </c>
      <c r="BR188" s="44">
        <v>9912</v>
      </c>
      <c r="BS188" s="10">
        <v>3366</v>
      </c>
      <c r="BT188" s="10">
        <v>23279</v>
      </c>
      <c r="BU188" s="10">
        <v>12250</v>
      </c>
      <c r="BV188" s="10">
        <v>5878</v>
      </c>
      <c r="BW188" s="10">
        <f t="shared" si="50"/>
        <v>26645</v>
      </c>
      <c r="BX188" s="10">
        <f t="shared" si="51"/>
        <v>18128</v>
      </c>
      <c r="BY188" s="14">
        <v>49157</v>
      </c>
      <c r="BZ188" s="14">
        <v>0</v>
      </c>
      <c r="CA188" s="14">
        <v>192</v>
      </c>
      <c r="CB188" s="14">
        <v>48965</v>
      </c>
      <c r="CC188" s="14">
        <v>31289</v>
      </c>
      <c r="CD188" s="14">
        <v>326</v>
      </c>
      <c r="CE188" s="14">
        <v>17193</v>
      </c>
      <c r="CF188" s="14">
        <v>0</v>
      </c>
      <c r="CG188" s="14">
        <v>0</v>
      </c>
      <c r="CH188" s="14">
        <v>0</v>
      </c>
      <c r="CI188" s="14">
        <v>349</v>
      </c>
      <c r="CJ188" s="14">
        <f t="shared" si="52"/>
        <v>349</v>
      </c>
      <c r="CK188" s="14">
        <v>25312</v>
      </c>
      <c r="CL188" s="14">
        <v>23845</v>
      </c>
      <c r="CM188" s="14">
        <v>28186</v>
      </c>
      <c r="CN188" s="11">
        <f t="shared" si="53"/>
        <v>0.57338731004739918</v>
      </c>
      <c r="CO188" s="14">
        <v>20971</v>
      </c>
      <c r="CP188" s="11">
        <f t="shared" si="54"/>
        <v>0.42661268995260088</v>
      </c>
      <c r="CQ188" s="29">
        <v>3032</v>
      </c>
      <c r="CR188" s="29">
        <v>24714</v>
      </c>
      <c r="CS188" s="29">
        <v>13730</v>
      </c>
      <c r="CT188" s="29">
        <v>6351</v>
      </c>
      <c r="CU188" s="45">
        <v>31310</v>
      </c>
      <c r="CV188" s="45">
        <v>11427</v>
      </c>
      <c r="CW188" s="45">
        <v>10789</v>
      </c>
      <c r="CX188" s="45">
        <v>5402</v>
      </c>
      <c r="CY188" s="45">
        <v>3692</v>
      </c>
      <c r="CZ188" s="45">
        <v>298</v>
      </c>
      <c r="DA188" s="45">
        <v>298</v>
      </c>
      <c r="DB188" s="45">
        <v>291</v>
      </c>
      <c r="DC188" s="45">
        <v>285</v>
      </c>
    </row>
    <row r="189" spans="1:107" x14ac:dyDescent="0.35">
      <c r="A189" s="1" t="s">
        <v>1132</v>
      </c>
      <c r="B189" s="5" t="s">
        <v>0</v>
      </c>
      <c r="C189" s="3" t="s">
        <v>1249</v>
      </c>
      <c r="D189" s="4" t="s">
        <v>1250</v>
      </c>
      <c r="E189" s="27"/>
      <c r="F189" s="5">
        <v>31</v>
      </c>
      <c r="G189" s="2">
        <v>0.59015919246728377</v>
      </c>
      <c r="H189" s="2" t="s">
        <v>1276</v>
      </c>
      <c r="I189" s="8" t="s">
        <v>1131</v>
      </c>
      <c r="J189" s="7" t="s">
        <v>1377</v>
      </c>
      <c r="K189" s="8">
        <v>22740</v>
      </c>
      <c r="L189" s="8" t="s">
        <v>8</v>
      </c>
      <c r="M189" s="7" t="s">
        <v>1251</v>
      </c>
      <c r="N189" s="8">
        <v>8289</v>
      </c>
      <c r="O189" s="8" t="s">
        <v>102</v>
      </c>
      <c r="P189" s="7" t="s">
        <v>1252</v>
      </c>
      <c r="Q189" s="8">
        <v>0</v>
      </c>
      <c r="R189" s="8">
        <v>0</v>
      </c>
      <c r="S189" s="7">
        <v>0</v>
      </c>
      <c r="T189" s="15">
        <v>4376</v>
      </c>
      <c r="U189" s="10">
        <v>0</v>
      </c>
      <c r="V189" s="10">
        <v>0</v>
      </c>
      <c r="W189" s="10">
        <v>0</v>
      </c>
      <c r="X189" s="10">
        <v>47901</v>
      </c>
      <c r="Y189" s="12" t="s">
        <v>1131</v>
      </c>
      <c r="Z189" s="12" t="s">
        <v>1277</v>
      </c>
      <c r="AA189" s="13" t="s">
        <v>1253</v>
      </c>
      <c r="AB189" s="14">
        <v>6401</v>
      </c>
      <c r="AC189" s="15" t="s">
        <v>1254</v>
      </c>
      <c r="AD189" s="28">
        <v>35994</v>
      </c>
      <c r="AE189" s="14">
        <v>16951</v>
      </c>
      <c r="AF189" s="14">
        <v>1431</v>
      </c>
      <c r="AG189" s="14">
        <v>23352</v>
      </c>
      <c r="AH189" s="14" t="s">
        <v>17</v>
      </c>
      <c r="AI189" s="15" t="s">
        <v>1131</v>
      </c>
      <c r="AJ189" s="14">
        <v>0</v>
      </c>
      <c r="AK189" s="14">
        <v>0</v>
      </c>
      <c r="AL189" s="14">
        <v>0</v>
      </c>
      <c r="AM189" s="51">
        <v>60942</v>
      </c>
      <c r="AN189" s="51">
        <v>7323</v>
      </c>
      <c r="AO189" s="51">
        <v>6731</v>
      </c>
      <c r="AP189" s="51">
        <v>495</v>
      </c>
      <c r="AQ189" s="51">
        <v>6161</v>
      </c>
      <c r="AR189" s="51">
        <v>39558</v>
      </c>
      <c r="AS189" s="51">
        <v>670</v>
      </c>
      <c r="AT189" s="51">
        <v>4</v>
      </c>
      <c r="AU189" s="51">
        <v>31644</v>
      </c>
      <c r="AV189" s="51">
        <v>29298</v>
      </c>
      <c r="AW189" s="51">
        <v>27960</v>
      </c>
      <c r="AX189" s="51">
        <v>32982</v>
      </c>
      <c r="AY189" s="14">
        <v>19373.333333333332</v>
      </c>
      <c r="AZ189" s="14">
        <v>100256</v>
      </c>
      <c r="BA189" s="14">
        <v>0</v>
      </c>
      <c r="BB189" s="14">
        <v>1773</v>
      </c>
      <c r="BC189" s="14">
        <v>98483</v>
      </c>
      <c r="BD189" s="14">
        <v>80853</v>
      </c>
      <c r="BE189" s="11">
        <v>0.806465448451963</v>
      </c>
      <c r="BF189" s="14">
        <v>9152</v>
      </c>
      <c r="BG189" s="11">
        <v>9.1286307053941904E-2</v>
      </c>
      <c r="BH189" s="14">
        <v>7791</v>
      </c>
      <c r="BI189" s="11">
        <v>7.7711059687200768E-2</v>
      </c>
      <c r="BJ189" s="14">
        <v>0</v>
      </c>
      <c r="BK189" s="14">
        <v>0</v>
      </c>
      <c r="BL189" s="14">
        <v>0</v>
      </c>
      <c r="BM189" s="14">
        <v>2460</v>
      </c>
      <c r="BN189" s="14">
        <v>2460</v>
      </c>
      <c r="BO189" s="11">
        <f>Table14[[#This Row],[Base_Stock_GE15]]/Table14[[#This Row],[All_Voters_GE15]]</f>
        <v>0.47778686562400258</v>
      </c>
      <c r="BP189" s="14">
        <v>23454</v>
      </c>
      <c r="BQ189" s="10">
        <v>41209</v>
      </c>
      <c r="BR189" s="44">
        <v>23081</v>
      </c>
      <c r="BS189" s="10">
        <v>8026</v>
      </c>
      <c r="BT189" s="10">
        <v>54795</v>
      </c>
      <c r="BU189" s="10">
        <v>25590</v>
      </c>
      <c r="BV189" s="10">
        <v>11845</v>
      </c>
      <c r="BW189" s="10">
        <f t="shared" si="50"/>
        <v>62821</v>
      </c>
      <c r="BX189" s="10">
        <f t="shared" si="51"/>
        <v>37435</v>
      </c>
      <c r="BY189" s="14">
        <v>108439</v>
      </c>
      <c r="BZ189" s="14">
        <v>0</v>
      </c>
      <c r="CA189" s="14">
        <v>1815</v>
      </c>
      <c r="CB189" s="14">
        <v>106624</v>
      </c>
      <c r="CC189" s="14">
        <v>89546</v>
      </c>
      <c r="CD189" s="14">
        <v>9319</v>
      </c>
      <c r="CE189" s="14">
        <v>7214</v>
      </c>
      <c r="CF189" s="14">
        <v>0</v>
      </c>
      <c r="CG189" s="14">
        <v>0</v>
      </c>
      <c r="CH189" s="14">
        <v>0</v>
      </c>
      <c r="CI189" s="14">
        <v>2360</v>
      </c>
      <c r="CJ189" s="14">
        <f t="shared" si="52"/>
        <v>2360</v>
      </c>
      <c r="CK189" s="14">
        <v>56017</v>
      </c>
      <c r="CL189" s="14">
        <v>52422</v>
      </c>
      <c r="CM189" s="14">
        <v>65271</v>
      </c>
      <c r="CN189" s="11">
        <f t="shared" si="53"/>
        <v>0.60191444037661723</v>
      </c>
      <c r="CO189" s="14">
        <v>43168</v>
      </c>
      <c r="CP189" s="11">
        <f t="shared" si="54"/>
        <v>0.39808555962338271</v>
      </c>
      <c r="CQ189" s="29">
        <v>6761</v>
      </c>
      <c r="CR189" s="29">
        <v>57974</v>
      </c>
      <c r="CS189" s="29">
        <v>28238</v>
      </c>
      <c r="CT189" s="29">
        <v>13379</v>
      </c>
      <c r="CU189" s="45">
        <v>49952</v>
      </c>
      <c r="CV189" s="45">
        <v>18325</v>
      </c>
      <c r="CW189" s="45">
        <v>19397</v>
      </c>
      <c r="CX189" s="45">
        <v>7590</v>
      </c>
      <c r="CY189" s="45">
        <v>4640</v>
      </c>
      <c r="CZ189" s="45">
        <v>496</v>
      </c>
      <c r="DA189" s="45">
        <v>496</v>
      </c>
      <c r="DB189" s="45">
        <v>470</v>
      </c>
      <c r="DC189" s="45">
        <v>442</v>
      </c>
    </row>
    <row r="190" spans="1:107" x14ac:dyDescent="0.35">
      <c r="A190" s="1" t="s">
        <v>1132</v>
      </c>
      <c r="B190" s="5" t="s">
        <v>0</v>
      </c>
      <c r="C190" s="3" t="s">
        <v>1255</v>
      </c>
      <c r="D190" s="4" t="s">
        <v>1256</v>
      </c>
      <c r="E190" s="27"/>
      <c r="F190" s="5">
        <v>32</v>
      </c>
      <c r="G190" s="2">
        <v>0.55394975682079561</v>
      </c>
      <c r="H190" s="2" t="s">
        <v>1276</v>
      </c>
      <c r="I190" s="8" t="s">
        <v>1131</v>
      </c>
      <c r="J190" s="7" t="s">
        <v>1378</v>
      </c>
      <c r="K190" s="8">
        <v>0</v>
      </c>
      <c r="L190" s="8">
        <v>0</v>
      </c>
      <c r="M190" s="7">
        <v>0</v>
      </c>
      <c r="N190" s="8">
        <v>0</v>
      </c>
      <c r="O190" s="8" t="s">
        <v>23</v>
      </c>
      <c r="P190" s="7" t="s">
        <v>1257</v>
      </c>
      <c r="Q190" s="8">
        <v>0</v>
      </c>
      <c r="R190" s="8">
        <v>0</v>
      </c>
      <c r="S190" s="7">
        <v>0</v>
      </c>
      <c r="T190" s="15">
        <v>20810</v>
      </c>
      <c r="U190" s="10">
        <v>0</v>
      </c>
      <c r="V190" s="10">
        <v>0</v>
      </c>
      <c r="W190" s="10">
        <v>0</v>
      </c>
      <c r="X190" s="10">
        <v>17721</v>
      </c>
      <c r="Y190" s="12" t="s">
        <v>1131</v>
      </c>
      <c r="Z190" s="12" t="s">
        <v>1277</v>
      </c>
      <c r="AA190" s="13" t="s">
        <v>1258</v>
      </c>
      <c r="AB190" s="14">
        <v>20674</v>
      </c>
      <c r="AC190" s="15" t="s">
        <v>1259</v>
      </c>
      <c r="AD190" s="28">
        <v>26402</v>
      </c>
      <c r="AE190" s="14">
        <v>6135</v>
      </c>
      <c r="AF190" s="14">
        <v>384</v>
      </c>
      <c r="AG190" s="14">
        <v>26809</v>
      </c>
      <c r="AH190" s="14" t="s">
        <v>17</v>
      </c>
      <c r="AI190" s="15" t="s">
        <v>1131</v>
      </c>
      <c r="AJ190" s="14">
        <v>0</v>
      </c>
      <c r="AK190" s="14">
        <v>0</v>
      </c>
      <c r="AL190" s="14">
        <v>0</v>
      </c>
      <c r="AM190" s="51">
        <v>48248</v>
      </c>
      <c r="AN190" s="51">
        <v>3391</v>
      </c>
      <c r="AO190" s="51">
        <v>849</v>
      </c>
      <c r="AP190" s="51">
        <v>154</v>
      </c>
      <c r="AQ190" s="51">
        <v>1075</v>
      </c>
      <c r="AR190" s="51">
        <v>42599</v>
      </c>
      <c r="AS190" s="51">
        <v>172</v>
      </c>
      <c r="AT190" s="51">
        <v>8</v>
      </c>
      <c r="AU190" s="51">
        <v>23535</v>
      </c>
      <c r="AV190" s="51">
        <v>24713</v>
      </c>
      <c r="AW190" s="51">
        <v>21318</v>
      </c>
      <c r="AX190" s="51">
        <v>26930</v>
      </c>
      <c r="AY190" s="14">
        <v>17037.666666666668</v>
      </c>
      <c r="AZ190" s="14">
        <v>72169</v>
      </c>
      <c r="BA190" s="14">
        <v>0</v>
      </c>
      <c r="BB190" s="14">
        <v>937</v>
      </c>
      <c r="BC190" s="14">
        <v>71232</v>
      </c>
      <c r="BD190" s="14">
        <v>69710</v>
      </c>
      <c r="BE190" s="11">
        <v>0.96592719865870391</v>
      </c>
      <c r="BF190" s="14">
        <v>1097</v>
      </c>
      <c r="BG190" s="11">
        <v>1.5200432318585541E-2</v>
      </c>
      <c r="BH190" s="14">
        <v>769</v>
      </c>
      <c r="BI190" s="11">
        <v>1.065554462442323E-2</v>
      </c>
      <c r="BJ190" s="14">
        <v>0</v>
      </c>
      <c r="BK190" s="14">
        <v>0</v>
      </c>
      <c r="BL190" s="14">
        <v>0</v>
      </c>
      <c r="BM190" s="14">
        <v>593</v>
      </c>
      <c r="BN190" s="14">
        <v>593</v>
      </c>
      <c r="BO190" s="11">
        <f>Table14[[#This Row],[Base_Stock_GE15]]/Table14[[#This Row],[All_Voters_GE15]]</f>
        <v>0.24554864276905597</v>
      </c>
      <c r="BP190" s="14">
        <v>5051</v>
      </c>
      <c r="BQ190" s="10">
        <v>25491</v>
      </c>
      <c r="BR190" s="44">
        <v>16397</v>
      </c>
      <c r="BS190" s="10">
        <v>6008</v>
      </c>
      <c r="BT190" s="10">
        <v>36653</v>
      </c>
      <c r="BU190" s="10">
        <v>20371</v>
      </c>
      <c r="BV190" s="10">
        <v>9137</v>
      </c>
      <c r="BW190" s="10">
        <f t="shared" si="50"/>
        <v>42661</v>
      </c>
      <c r="BX190" s="10">
        <f t="shared" si="51"/>
        <v>29508</v>
      </c>
      <c r="BY190" s="14">
        <v>78524</v>
      </c>
      <c r="BZ190" s="14">
        <v>0</v>
      </c>
      <c r="CA190" s="14">
        <v>1384</v>
      </c>
      <c r="CB190" s="14">
        <v>77140</v>
      </c>
      <c r="CC190" s="14">
        <v>76268</v>
      </c>
      <c r="CD190" s="14">
        <v>1107</v>
      </c>
      <c r="CE190" s="14">
        <v>548</v>
      </c>
      <c r="CF190" s="14">
        <v>0</v>
      </c>
      <c r="CG190" s="14">
        <v>0</v>
      </c>
      <c r="CH190" s="14">
        <v>0</v>
      </c>
      <c r="CI190" s="14">
        <v>601</v>
      </c>
      <c r="CJ190" s="14">
        <f t="shared" si="52"/>
        <v>601</v>
      </c>
      <c r="CK190" s="14">
        <v>39147</v>
      </c>
      <c r="CL190" s="14">
        <v>39377</v>
      </c>
      <c r="CM190" s="14">
        <v>46005</v>
      </c>
      <c r="CN190" s="11">
        <f t="shared" si="53"/>
        <v>0.58587183536243692</v>
      </c>
      <c r="CO190" s="14">
        <v>32519</v>
      </c>
      <c r="CP190" s="11">
        <f t="shared" si="54"/>
        <v>0.41412816463756302</v>
      </c>
      <c r="CQ190" s="29">
        <v>5161</v>
      </c>
      <c r="CR190" s="29">
        <v>39316</v>
      </c>
      <c r="CS190" s="29">
        <v>21995</v>
      </c>
      <c r="CT190" s="29">
        <v>9470</v>
      </c>
      <c r="CU190" s="45">
        <v>41779</v>
      </c>
      <c r="CV190" s="45">
        <v>15707</v>
      </c>
      <c r="CW190" s="45">
        <v>18007</v>
      </c>
      <c r="CX190" s="45">
        <v>5097</v>
      </c>
      <c r="CY190" s="45">
        <v>2968</v>
      </c>
      <c r="CZ190" s="45">
        <v>481</v>
      </c>
      <c r="DA190" s="45">
        <v>481</v>
      </c>
      <c r="DB190" s="45">
        <v>461</v>
      </c>
      <c r="DC190" s="45">
        <v>405</v>
      </c>
    </row>
    <row r="191" spans="1:107" x14ac:dyDescent="0.35">
      <c r="A191" s="1" t="s">
        <v>1132</v>
      </c>
      <c r="B191" s="5" t="s">
        <v>0</v>
      </c>
      <c r="C191" s="3" t="s">
        <v>1260</v>
      </c>
      <c r="D191" s="4" t="s">
        <v>1261</v>
      </c>
      <c r="E191" s="27"/>
      <c r="F191" s="5">
        <v>23</v>
      </c>
      <c r="G191" s="2">
        <v>0.59005224230369124</v>
      </c>
      <c r="H191" s="2" t="s">
        <v>1276</v>
      </c>
      <c r="I191" s="8" t="s">
        <v>1135</v>
      </c>
      <c r="J191" s="7" t="s">
        <v>1379</v>
      </c>
      <c r="K191" s="8">
        <v>0</v>
      </c>
      <c r="L191" s="8">
        <v>0</v>
      </c>
      <c r="M191" s="7">
        <v>0</v>
      </c>
      <c r="N191" s="8">
        <v>16065</v>
      </c>
      <c r="O191" s="8" t="s">
        <v>23</v>
      </c>
      <c r="P191" s="7" t="s">
        <v>1262</v>
      </c>
      <c r="Q191" s="8">
        <v>0</v>
      </c>
      <c r="R191" s="8">
        <v>0</v>
      </c>
      <c r="S191" s="7">
        <v>0</v>
      </c>
      <c r="T191" s="15">
        <v>3800</v>
      </c>
      <c r="U191" s="10">
        <v>0</v>
      </c>
      <c r="V191" s="10">
        <v>0</v>
      </c>
      <c r="W191" s="10">
        <v>0</v>
      </c>
      <c r="X191" s="10">
        <v>1042</v>
      </c>
      <c r="Y191" s="12" t="s">
        <v>26</v>
      </c>
      <c r="Z191" s="12" t="s">
        <v>1277</v>
      </c>
      <c r="AA191" s="13" t="s">
        <v>1263</v>
      </c>
      <c r="AB191" s="14">
        <v>4727</v>
      </c>
      <c r="AC191" s="15" t="s">
        <v>1264</v>
      </c>
      <c r="AD191" s="28">
        <v>21622</v>
      </c>
      <c r="AE191" s="14">
        <v>16673</v>
      </c>
      <c r="AF191" s="14">
        <v>2518</v>
      </c>
      <c r="AG191" s="14">
        <v>21400</v>
      </c>
      <c r="AH191" s="14" t="s">
        <v>1147</v>
      </c>
      <c r="AI191" s="15" t="s">
        <v>29</v>
      </c>
      <c r="AJ191" s="14">
        <v>0</v>
      </c>
      <c r="AK191" s="14">
        <v>1</v>
      </c>
      <c r="AL191" s="14">
        <v>0</v>
      </c>
      <c r="AM191" s="51">
        <v>59919</v>
      </c>
      <c r="AN191" s="51">
        <v>10876</v>
      </c>
      <c r="AO191" s="51">
        <v>20737</v>
      </c>
      <c r="AP191" s="51">
        <v>333</v>
      </c>
      <c r="AQ191" s="51">
        <v>5049</v>
      </c>
      <c r="AR191" s="51">
        <v>22339</v>
      </c>
      <c r="AS191" s="51">
        <v>582</v>
      </c>
      <c r="AT191" s="51">
        <v>3</v>
      </c>
      <c r="AU191" s="51">
        <v>30441</v>
      </c>
      <c r="AV191" s="51">
        <v>29478</v>
      </c>
      <c r="AW191" s="51">
        <v>22611</v>
      </c>
      <c r="AX191" s="51">
        <v>37308</v>
      </c>
      <c r="AY191" s="14">
        <v>17315.666666666668</v>
      </c>
      <c r="AZ191" s="14">
        <v>87477</v>
      </c>
      <c r="BA191" s="14">
        <v>5</v>
      </c>
      <c r="BB191" s="14">
        <v>1172</v>
      </c>
      <c r="BC191" s="14">
        <v>86300</v>
      </c>
      <c r="BD191" s="14">
        <v>55412</v>
      </c>
      <c r="BE191" s="11">
        <v>0.63344650593870389</v>
      </c>
      <c r="BF191" s="14">
        <v>25748</v>
      </c>
      <c r="BG191" s="11">
        <v>0.29434022657384229</v>
      </c>
      <c r="BH191" s="14">
        <v>4525</v>
      </c>
      <c r="BI191" s="11">
        <v>5.1727882757753467E-2</v>
      </c>
      <c r="BJ191" s="14">
        <v>0</v>
      </c>
      <c r="BK191" s="14">
        <v>0</v>
      </c>
      <c r="BL191" s="14">
        <v>0</v>
      </c>
      <c r="BM191" s="14">
        <v>1792</v>
      </c>
      <c r="BN191" s="14">
        <v>1792</v>
      </c>
      <c r="BO191" s="11">
        <f>Table14[[#This Row],[Base_Stock_GE15]]/Table14[[#This Row],[All_Voters_GE15]]</f>
        <v>1.1911702504658367E-2</v>
      </c>
      <c r="BP191" s="14">
        <v>667</v>
      </c>
      <c r="BQ191" s="10">
        <v>30003</v>
      </c>
      <c r="BR191" s="44">
        <v>16513</v>
      </c>
      <c r="BS191" s="10">
        <v>5542</v>
      </c>
      <c r="BT191" s="10">
        <v>41001</v>
      </c>
      <c r="BU191" s="10">
        <v>25888</v>
      </c>
      <c r="BV191" s="10">
        <v>15046</v>
      </c>
      <c r="BW191" s="10">
        <f t="shared" si="50"/>
        <v>46543</v>
      </c>
      <c r="BX191" s="10">
        <f t="shared" si="51"/>
        <v>40934</v>
      </c>
      <c r="BY191" s="14">
        <v>92520</v>
      </c>
      <c r="BZ191" s="14">
        <v>0</v>
      </c>
      <c r="CA191" s="14">
        <v>1335</v>
      </c>
      <c r="CB191" s="14">
        <v>91185</v>
      </c>
      <c r="CC191" s="14">
        <v>60852</v>
      </c>
      <c r="CD191" s="14">
        <v>25546</v>
      </c>
      <c r="CE191" s="14">
        <v>4283</v>
      </c>
      <c r="CF191" s="14">
        <v>0</v>
      </c>
      <c r="CG191" s="14">
        <v>0</v>
      </c>
      <c r="CH191" s="14">
        <v>0</v>
      </c>
      <c r="CI191" s="14">
        <v>1839</v>
      </c>
      <c r="CJ191" s="14">
        <f t="shared" si="52"/>
        <v>1839</v>
      </c>
      <c r="CK191" s="14">
        <v>47488</v>
      </c>
      <c r="CL191" s="14">
        <v>45032</v>
      </c>
      <c r="CM191" s="14">
        <v>47684</v>
      </c>
      <c r="CN191" s="11">
        <f t="shared" si="53"/>
        <v>0.5153912667531344</v>
      </c>
      <c r="CO191" s="14">
        <v>44836</v>
      </c>
      <c r="CP191" s="11">
        <f t="shared" si="54"/>
        <v>0.48460873324686554</v>
      </c>
      <c r="CQ191" s="29">
        <v>4942</v>
      </c>
      <c r="CR191" s="29">
        <v>42452</v>
      </c>
      <c r="CS191" s="29">
        <v>27271</v>
      </c>
      <c r="CT191" s="29">
        <v>16533</v>
      </c>
      <c r="CU191" s="45">
        <v>27123</v>
      </c>
      <c r="CV191" s="45">
        <v>11384</v>
      </c>
      <c r="CW191" s="45">
        <v>10707</v>
      </c>
      <c r="CX191" s="45">
        <v>3114</v>
      </c>
      <c r="CY191" s="45">
        <v>1918</v>
      </c>
      <c r="CZ191" s="45">
        <v>188</v>
      </c>
      <c r="DA191" s="45">
        <v>188</v>
      </c>
      <c r="DB191" s="45">
        <v>177</v>
      </c>
      <c r="DC191" s="45">
        <v>159</v>
      </c>
    </row>
    <row r="192" spans="1:107" x14ac:dyDescent="0.35">
      <c r="A192" s="1" t="s">
        <v>1132</v>
      </c>
      <c r="B192" s="5" t="s">
        <v>0</v>
      </c>
      <c r="C192" s="3" t="s">
        <v>1265</v>
      </c>
      <c r="D192" s="4" t="s">
        <v>1266</v>
      </c>
      <c r="E192" s="27"/>
      <c r="F192" s="5">
        <v>21</v>
      </c>
      <c r="G192" s="2">
        <v>0.60487078718589971</v>
      </c>
      <c r="H192" s="2" t="s">
        <v>1276</v>
      </c>
      <c r="I192" s="30" t="s">
        <v>6</v>
      </c>
      <c r="J192" s="7" t="str">
        <f>IF(Table14[[#This Row],[Party_Win_GE15]]="BN",Table14[[#This Row],[BN_Candidates_GE15]],IF(Table14[[#This Row],[Party_Win_GE15]]="PH",Table14[[#This Row],[PH_Candidates_GE15]],IF(Table14[[#This Row],[Party_Win_GE15]]="PN",Table14[[#This Row],[PN_Candidates_GE15]],IF(Table14[[#This Row],[Party_Win_GE15]]="MUDA",#REF!,""))))</f>
        <v xml:space="preserve">ANDI MUHAMMAD SURYADY BIN BANDY </v>
      </c>
      <c r="K192" s="8">
        <v>23855</v>
      </c>
      <c r="L192" s="8" t="s">
        <v>8</v>
      </c>
      <c r="M192" s="7" t="s">
        <v>1267</v>
      </c>
      <c r="N192" s="8">
        <v>9398</v>
      </c>
      <c r="O192" s="8" t="s">
        <v>23</v>
      </c>
      <c r="P192" s="7" t="s">
        <v>1268</v>
      </c>
      <c r="Q192" s="8">
        <v>0</v>
      </c>
      <c r="R192" s="8">
        <v>0</v>
      </c>
      <c r="S192" s="7">
        <v>0</v>
      </c>
      <c r="T192" s="15">
        <v>9100</v>
      </c>
      <c r="U192" s="10">
        <v>1</v>
      </c>
      <c r="V192" s="10">
        <v>0</v>
      </c>
      <c r="W192" s="10">
        <v>0</v>
      </c>
      <c r="X192" s="10">
        <v>41400</v>
      </c>
      <c r="Y192" s="12" t="s">
        <v>1131</v>
      </c>
      <c r="Z192" s="12" t="s">
        <v>1277</v>
      </c>
      <c r="AA192" s="13" t="s">
        <v>1269</v>
      </c>
      <c r="AB192" s="14">
        <v>3187</v>
      </c>
      <c r="AC192" s="15" t="s">
        <v>1270</v>
      </c>
      <c r="AD192" s="28">
        <v>31049</v>
      </c>
      <c r="AE192" s="14">
        <v>15299</v>
      </c>
      <c r="AF192" s="14">
        <v>2813</v>
      </c>
      <c r="AG192" s="14">
        <v>18486</v>
      </c>
      <c r="AH192" s="14" t="s">
        <v>17</v>
      </c>
      <c r="AI192" s="15" t="s">
        <v>1131</v>
      </c>
      <c r="AJ192" s="14">
        <v>0</v>
      </c>
      <c r="AK192" s="14">
        <v>0</v>
      </c>
      <c r="AL192" s="14">
        <v>0</v>
      </c>
      <c r="AM192" s="51">
        <v>52199</v>
      </c>
      <c r="AN192" s="51">
        <v>12303</v>
      </c>
      <c r="AO192" s="51">
        <v>4680</v>
      </c>
      <c r="AP192" s="51">
        <v>318</v>
      </c>
      <c r="AQ192" s="51">
        <v>7393</v>
      </c>
      <c r="AR192" s="51">
        <v>26480</v>
      </c>
      <c r="AS192" s="51">
        <v>1017</v>
      </c>
      <c r="AT192" s="51">
        <v>8</v>
      </c>
      <c r="AU192" s="51">
        <v>26738</v>
      </c>
      <c r="AV192" s="51">
        <v>25461</v>
      </c>
      <c r="AW192" s="51">
        <v>25195</v>
      </c>
      <c r="AX192" s="51">
        <v>27004</v>
      </c>
      <c r="AY192" s="14">
        <v>19212</v>
      </c>
      <c r="AZ192" s="14">
        <v>83970</v>
      </c>
      <c r="BA192" s="14">
        <v>5</v>
      </c>
      <c r="BB192" s="14">
        <v>2744</v>
      </c>
      <c r="BC192" s="14">
        <v>81221</v>
      </c>
      <c r="BD192" s="14">
        <v>70205</v>
      </c>
      <c r="BE192" s="11">
        <v>0.8360724068119566</v>
      </c>
      <c r="BF192" s="14">
        <v>7016</v>
      </c>
      <c r="BG192" s="11">
        <v>8.3553650113135647E-2</v>
      </c>
      <c r="BH192" s="14">
        <v>5159</v>
      </c>
      <c r="BI192" s="11">
        <v>6.1438609027033464E-2</v>
      </c>
      <c r="BJ192" s="14">
        <v>0</v>
      </c>
      <c r="BK192" s="14">
        <v>0</v>
      </c>
      <c r="BL192" s="14">
        <v>0</v>
      </c>
      <c r="BM192" s="14">
        <v>1590</v>
      </c>
      <c r="BN192" s="14">
        <v>1590</v>
      </c>
      <c r="BO192" s="11">
        <f>Table14[[#This Row],[Base_Stock_GE15]]/Table14[[#This Row],[All_Voters_GE15]]</f>
        <v>0.49303322615219719</v>
      </c>
      <c r="BP192" s="14">
        <v>28767</v>
      </c>
      <c r="BQ192" s="10">
        <v>33896</v>
      </c>
      <c r="BR192" s="44">
        <v>18003</v>
      </c>
      <c r="BS192" s="10">
        <v>5840</v>
      </c>
      <c r="BT192" s="10">
        <v>46724</v>
      </c>
      <c r="BU192" s="10">
        <v>21208</v>
      </c>
      <c r="BV192" s="10">
        <v>10198</v>
      </c>
      <c r="BW192" s="10">
        <f t="shared" si="50"/>
        <v>52564</v>
      </c>
      <c r="BX192" s="10">
        <f t="shared" si="51"/>
        <v>31406</v>
      </c>
      <c r="BY192" s="14">
        <v>90622</v>
      </c>
      <c r="BZ192" s="14">
        <v>0</v>
      </c>
      <c r="CA192" s="14">
        <v>2620</v>
      </c>
      <c r="CB192" s="14">
        <v>88002</v>
      </c>
      <c r="CC192" s="14">
        <v>77071</v>
      </c>
      <c r="CD192" s="14">
        <v>7250</v>
      </c>
      <c r="CE192" s="14">
        <v>4753</v>
      </c>
      <c r="CF192" s="14">
        <v>0</v>
      </c>
      <c r="CG192" s="14">
        <v>0</v>
      </c>
      <c r="CH192" s="14">
        <v>0</v>
      </c>
      <c r="CI192" s="14">
        <v>1548</v>
      </c>
      <c r="CJ192" s="14">
        <f t="shared" si="52"/>
        <v>1548</v>
      </c>
      <c r="CK192" s="14">
        <v>46657</v>
      </c>
      <c r="CL192" s="14">
        <v>43965</v>
      </c>
      <c r="CM192" s="14">
        <v>53003</v>
      </c>
      <c r="CN192" s="11">
        <f t="shared" si="53"/>
        <v>0.58488005120169495</v>
      </c>
      <c r="CO192" s="14">
        <v>37619</v>
      </c>
      <c r="CP192" s="11">
        <f t="shared" si="54"/>
        <v>0.41511994879830505</v>
      </c>
      <c r="CQ192" s="29">
        <v>5153</v>
      </c>
      <c r="CR192" s="29">
        <v>47826</v>
      </c>
      <c r="CS192" s="29">
        <v>24077</v>
      </c>
      <c r="CT192" s="29">
        <v>11575</v>
      </c>
      <c r="CU192" s="45">
        <v>27188</v>
      </c>
      <c r="CV192" s="45">
        <v>11232</v>
      </c>
      <c r="CW192" s="45">
        <v>10713</v>
      </c>
      <c r="CX192" s="45">
        <v>3163</v>
      </c>
      <c r="CY192" s="45">
        <v>2080</v>
      </c>
      <c r="CZ192" s="45">
        <v>191</v>
      </c>
      <c r="DA192" s="45">
        <v>191</v>
      </c>
      <c r="DB192" s="45">
        <v>184</v>
      </c>
      <c r="DC192" s="45">
        <v>166</v>
      </c>
    </row>
  </sheetData>
  <phoneticPr fontId="19" type="noConversion"/>
  <conditionalFormatting sqref="BQ140:BQ182 BW3:BX192 I2:I192 BS3:BV182">
    <cfRule type="containsText" dxfId="77" priority="80" operator="containsText" text="PH">
      <formula>NOT(ISERROR(SEARCH("PH",I2)))</formula>
    </cfRule>
    <cfRule type="containsText" dxfId="76" priority="81" operator="containsText" text="PAS">
      <formula>NOT(ISERROR(SEARCH("PAS",I2)))</formula>
    </cfRule>
    <cfRule type="containsText" dxfId="75" priority="82" operator="containsText" text="BN">
      <formula>NOT(ISERROR(SEARCH("BN",I2)))</formula>
    </cfRule>
    <cfRule type="containsText" dxfId="74" priority="83" operator="containsText" text="PN">
      <formula>NOT(ISERROR(SEARCH("PN",I2)))</formula>
    </cfRule>
  </conditionalFormatting>
  <conditionalFormatting sqref="BQ2:BQ3 T2:W192">
    <cfRule type="containsText" dxfId="73" priority="92" operator="containsText" text="PH">
      <formula>NOT(ISERROR(SEARCH("PH",T2)))</formula>
    </cfRule>
  </conditionalFormatting>
  <conditionalFormatting sqref="Y2:Z192">
    <cfRule type="containsText" dxfId="72" priority="105" operator="containsText" text="warisan">
      <formula>NOT(ISERROR(SEARCH("warisan",Y2)))</formula>
    </cfRule>
    <cfRule type="containsText" dxfId="71" priority="106" operator="containsText" text="pas">
      <formula>NOT(ISERROR(SEARCH("pas",Y2)))</formula>
    </cfRule>
    <cfRule type="containsText" dxfId="70" priority="107" operator="containsText" text="pkr">
      <formula>NOT(ISERROR(SEARCH("pkr",Y2)))</formula>
    </cfRule>
    <cfRule type="containsText" dxfId="69" priority="108" operator="containsText" text="ppbm">
      <formula>NOT(ISERROR(SEARCH("ppbm",Y2)))</formula>
    </cfRule>
    <cfRule type="containsText" dxfId="68" priority="109" operator="containsText" text="dap">
      <formula>NOT(ISERROR(SEARCH("dap",Y2)))</formula>
    </cfRule>
    <cfRule type="containsText" dxfId="67" priority="110" operator="containsText" text="amanah">
      <formula>NOT(ISERROR(SEARCH("amanah",Y2)))</formula>
    </cfRule>
    <cfRule type="containsText" dxfId="66" priority="111" operator="containsText" text="BN">
      <formula>NOT(ISERROR(SEARCH("BN",Y2)))</formula>
    </cfRule>
    <cfRule type="expression" dxfId="65" priority="112">
      <formula>MOD(ROW(),2)=0</formula>
    </cfRule>
  </conditionalFormatting>
  <conditionalFormatting sqref="Y140:Z167">
    <cfRule type="containsText" dxfId="64" priority="98" operator="containsText" text="pas">
      <formula>NOT(ISERROR(SEARCH("pas",Y140)))</formula>
    </cfRule>
    <cfRule type="containsText" dxfId="63" priority="99" operator="containsText" text="pkr">
      <formula>NOT(ISERROR(SEARCH("pkr",Y140)))</formula>
    </cfRule>
    <cfRule type="containsText" dxfId="62" priority="100" operator="containsText" text="ppbm">
      <formula>NOT(ISERROR(SEARCH("ppbm",Y140)))</formula>
    </cfRule>
    <cfRule type="containsText" dxfId="61" priority="101" operator="containsText" text="dap">
      <formula>NOT(ISERROR(SEARCH("dap",Y140)))</formula>
    </cfRule>
    <cfRule type="containsText" dxfId="60" priority="102" operator="containsText" text="amanah">
      <formula>NOT(ISERROR(SEARCH("amanah",Y140)))</formula>
    </cfRule>
    <cfRule type="containsText" dxfId="59" priority="103" operator="containsText" text="BN">
      <formula>NOT(ISERROR(SEARCH("BN",Y140)))</formula>
    </cfRule>
    <cfRule type="expression" dxfId="58" priority="104">
      <formula>MOD(ROW(),2)=0</formula>
    </cfRule>
  </conditionalFormatting>
  <conditionalFormatting sqref="AJ1:AV1 AJ2:AX1048576">
    <cfRule type="cellIs" dxfId="57" priority="96" operator="equal">
      <formula>"KLH"</formula>
    </cfRule>
    <cfRule type="cellIs" dxfId="56" priority="97" operator="equal">
      <formula>"MNG"</formula>
    </cfRule>
  </conditionalFormatting>
  <conditionalFormatting sqref="BQ2:BQ3 T2:W192">
    <cfRule type="containsText" dxfId="55" priority="93" operator="containsText" text="PAS">
      <formula>NOT(ISERROR(SEARCH("PAS",T2)))</formula>
    </cfRule>
    <cfRule type="containsText" dxfId="54" priority="94" operator="containsText" text="BN">
      <formula>NOT(ISERROR(SEARCH("BN",T2)))</formula>
    </cfRule>
    <cfRule type="containsText" dxfId="53" priority="95" operator="containsText" text="PN">
      <formula>NOT(ISERROR(SEARCH("PN",T2)))</formula>
    </cfRule>
  </conditionalFormatting>
  <conditionalFormatting sqref="BS166:BV181 BS183:BV191 BQ2:BQ192 BW3:BX192 BS3:BV164">
    <cfRule type="expression" dxfId="52" priority="86">
      <formula>#REF!&gt;#REF!</formula>
    </cfRule>
  </conditionalFormatting>
  <conditionalFormatting sqref="BQ4:BQ8">
    <cfRule type="containsText" dxfId="51" priority="56" operator="containsText" text="PH">
      <formula>NOT(ISERROR(SEARCH("PH",BQ4)))</formula>
    </cfRule>
    <cfRule type="containsText" dxfId="50" priority="57" operator="containsText" text="PAS">
      <formula>NOT(ISERROR(SEARCH("PAS",BQ4)))</formula>
    </cfRule>
    <cfRule type="containsText" dxfId="49" priority="58" operator="containsText" text="BN">
      <formula>NOT(ISERROR(SEARCH("BN",BQ4)))</formula>
    </cfRule>
    <cfRule type="containsText" dxfId="48" priority="59" operator="containsText" text="PN">
      <formula>NOT(ISERROR(SEARCH("PN",BQ4)))</formula>
    </cfRule>
  </conditionalFormatting>
  <conditionalFormatting sqref="BQ9:BQ17">
    <cfRule type="containsText" dxfId="47" priority="52" operator="containsText" text="PH">
      <formula>NOT(ISERROR(SEARCH("PH",BQ9)))</formula>
    </cfRule>
    <cfRule type="containsText" dxfId="46" priority="53" operator="containsText" text="PAS">
      <formula>NOT(ISERROR(SEARCH("PAS",BQ9)))</formula>
    </cfRule>
    <cfRule type="containsText" dxfId="45" priority="54" operator="containsText" text="BN">
      <formula>NOT(ISERROR(SEARCH("BN",BQ9)))</formula>
    </cfRule>
    <cfRule type="containsText" dxfId="44" priority="55" operator="containsText" text="PN">
      <formula>NOT(ISERROR(SEARCH("PN",BQ9)))</formula>
    </cfRule>
  </conditionalFormatting>
  <conditionalFormatting sqref="BQ18:BQ28">
    <cfRule type="containsText" dxfId="43" priority="48" operator="containsText" text="PH">
      <formula>NOT(ISERROR(SEARCH("PH",BQ18)))</formula>
    </cfRule>
    <cfRule type="containsText" dxfId="42" priority="49" operator="containsText" text="PAS">
      <formula>NOT(ISERROR(SEARCH("PAS",BQ18)))</formula>
    </cfRule>
    <cfRule type="containsText" dxfId="41" priority="50" operator="containsText" text="BN">
      <formula>NOT(ISERROR(SEARCH("BN",BQ18)))</formula>
    </cfRule>
    <cfRule type="containsText" dxfId="40" priority="51" operator="containsText" text="PN">
      <formula>NOT(ISERROR(SEARCH("PN",BQ18)))</formula>
    </cfRule>
  </conditionalFormatting>
  <conditionalFormatting sqref="BQ29:BQ43">
    <cfRule type="containsText" dxfId="39" priority="44" operator="containsText" text="PH">
      <formula>NOT(ISERROR(SEARCH("PH",BQ29)))</formula>
    </cfRule>
    <cfRule type="containsText" dxfId="38" priority="45" operator="containsText" text="PAS">
      <formula>NOT(ISERROR(SEARCH("PAS",BQ29)))</formula>
    </cfRule>
    <cfRule type="containsText" dxfId="37" priority="46" operator="containsText" text="BN">
      <formula>NOT(ISERROR(SEARCH("BN",BQ29)))</formula>
    </cfRule>
    <cfRule type="containsText" dxfId="36" priority="47" operator="containsText" text="PN">
      <formula>NOT(ISERROR(SEARCH("PN",BQ29)))</formula>
    </cfRule>
  </conditionalFormatting>
  <conditionalFormatting sqref="BQ44:BQ75">
    <cfRule type="containsText" dxfId="35" priority="39" operator="containsText" text="PH">
      <formula>NOT(ISERROR(SEARCH("PH",BQ44)))</formula>
    </cfRule>
    <cfRule type="containsText" dxfId="34" priority="40" operator="containsText" text="PAS">
      <formula>NOT(ISERROR(SEARCH("PAS",BQ44)))</formula>
    </cfRule>
    <cfRule type="containsText" dxfId="33" priority="41" operator="containsText" text="BN">
      <formula>NOT(ISERROR(SEARCH("BN",BQ44)))</formula>
    </cfRule>
    <cfRule type="containsText" dxfId="32" priority="42" operator="containsText" text="PN">
      <formula>NOT(ISERROR(SEARCH("PN",BQ44)))</formula>
    </cfRule>
  </conditionalFormatting>
  <conditionalFormatting sqref="BQ76:BQ97">
    <cfRule type="containsText" dxfId="31" priority="35" operator="containsText" text="PH">
      <formula>NOT(ISERROR(SEARCH("PH",BQ76)))</formula>
    </cfRule>
    <cfRule type="containsText" dxfId="30" priority="36" operator="containsText" text="PAS">
      <formula>NOT(ISERROR(SEARCH("PAS",BQ76)))</formula>
    </cfRule>
    <cfRule type="containsText" dxfId="29" priority="37" operator="containsText" text="BN">
      <formula>NOT(ISERROR(SEARCH("BN",BQ76)))</formula>
    </cfRule>
    <cfRule type="containsText" dxfId="28" priority="38" operator="containsText" text="PN">
      <formula>NOT(ISERROR(SEARCH("PN",BQ76)))</formula>
    </cfRule>
  </conditionalFormatting>
  <conditionalFormatting sqref="BQ98:BQ114">
    <cfRule type="containsText" dxfId="27" priority="31" operator="containsText" text="PH">
      <formula>NOT(ISERROR(SEARCH("PH",BQ98)))</formula>
    </cfRule>
    <cfRule type="containsText" dxfId="26" priority="32" operator="containsText" text="PAS">
      <formula>NOT(ISERROR(SEARCH("PAS",BQ98)))</formula>
    </cfRule>
    <cfRule type="containsText" dxfId="25" priority="33" operator="containsText" text="BN">
      <formula>NOT(ISERROR(SEARCH("BN",BQ98)))</formula>
    </cfRule>
    <cfRule type="containsText" dxfId="24" priority="34" operator="containsText" text="PN">
      <formula>NOT(ISERROR(SEARCH("PN",BQ98)))</formula>
    </cfRule>
  </conditionalFormatting>
  <conditionalFormatting sqref="BQ115:BQ137">
    <cfRule type="containsText" dxfId="23" priority="27" operator="containsText" text="PH">
      <formula>NOT(ISERROR(SEARCH("PH",BQ115)))</formula>
    </cfRule>
    <cfRule type="containsText" dxfId="22" priority="28" operator="containsText" text="PAS">
      <formula>NOT(ISERROR(SEARCH("PAS",BQ115)))</formula>
    </cfRule>
    <cfRule type="containsText" dxfId="21" priority="29" operator="containsText" text="BN">
      <formula>NOT(ISERROR(SEARCH("BN",BQ115)))</formula>
    </cfRule>
    <cfRule type="containsText" dxfId="20" priority="30" operator="containsText" text="PN">
      <formula>NOT(ISERROR(SEARCH("PN",BQ115)))</formula>
    </cfRule>
  </conditionalFormatting>
  <conditionalFormatting sqref="BQ138:BQ139">
    <cfRule type="containsText" dxfId="19" priority="22" operator="containsText" text="PH">
      <formula>NOT(ISERROR(SEARCH("PH",BQ138)))</formula>
    </cfRule>
    <cfRule type="containsText" dxfId="18" priority="23" operator="containsText" text="PAS">
      <formula>NOT(ISERROR(SEARCH("PAS",BQ138)))</formula>
    </cfRule>
    <cfRule type="containsText" dxfId="17" priority="24" operator="containsText" text="BN">
      <formula>NOT(ISERROR(SEARCH("BN",BQ138)))</formula>
    </cfRule>
    <cfRule type="containsText" dxfId="16" priority="25" operator="containsText" text="PN">
      <formula>NOT(ISERROR(SEARCH("PN",BQ138)))</formula>
    </cfRule>
  </conditionalFormatting>
  <conditionalFormatting sqref="BQ183:BQ192">
    <cfRule type="containsText" dxfId="15" priority="8" operator="containsText" text="PH">
      <formula>NOT(ISERROR(SEARCH("PH",BQ183)))</formula>
    </cfRule>
    <cfRule type="containsText" dxfId="14" priority="9" operator="containsText" text="PAS">
      <formula>NOT(ISERROR(SEARCH("PAS",BQ183)))</formula>
    </cfRule>
    <cfRule type="containsText" dxfId="13" priority="10" operator="containsText" text="BN">
      <formula>NOT(ISERROR(SEARCH("BN",BQ183)))</formula>
    </cfRule>
    <cfRule type="containsText" dxfId="12" priority="11" operator="containsText" text="PN">
      <formula>NOT(ISERROR(SEARCH("PN",BQ183)))</formula>
    </cfRule>
  </conditionalFormatting>
  <conditionalFormatting sqref="BS2:BX2">
    <cfRule type="expression" dxfId="11" priority="43">
      <formula>#REF!&gt;#REF!</formula>
    </cfRule>
  </conditionalFormatting>
  <conditionalFormatting sqref="BS2:BX2">
    <cfRule type="containsText" dxfId="10" priority="12" operator="containsText" text="PH">
      <formula>NOT(ISERROR(SEARCH("PH",BS2)))</formula>
    </cfRule>
    <cfRule type="containsText" dxfId="9" priority="13" operator="containsText" text="PAS">
      <formula>NOT(ISERROR(SEARCH("PAS",BS2)))</formula>
    </cfRule>
    <cfRule type="containsText" dxfId="8" priority="14" operator="containsText" text="BN">
      <formula>NOT(ISERROR(SEARCH("BN",BS2)))</formula>
    </cfRule>
    <cfRule type="containsText" dxfId="7" priority="15" operator="containsText" text="PN">
      <formula>NOT(ISERROR(SEARCH("PN",BS2)))</formula>
    </cfRule>
  </conditionalFormatting>
  <conditionalFormatting sqref="BS165:BV165">
    <cfRule type="expression" dxfId="6" priority="21">
      <formula>#REF!&gt;#REF!</formula>
    </cfRule>
  </conditionalFormatting>
  <conditionalFormatting sqref="BS182:BV182">
    <cfRule type="expression" dxfId="5" priority="16">
      <formula>#REF!&gt;#REF!</formula>
    </cfRule>
  </conditionalFormatting>
  <conditionalFormatting sqref="BS183:BV192">
    <cfRule type="containsText" dxfId="4" priority="3" operator="containsText" text="PH">
      <formula>NOT(ISERROR(SEARCH("PH",BS183)))</formula>
    </cfRule>
    <cfRule type="containsText" dxfId="3" priority="4" operator="containsText" text="PAS">
      <formula>NOT(ISERROR(SEARCH("PAS",BS183)))</formula>
    </cfRule>
    <cfRule type="containsText" dxfId="2" priority="5" operator="containsText" text="BN">
      <formula>NOT(ISERROR(SEARCH("BN",BS183)))</formula>
    </cfRule>
    <cfRule type="containsText" dxfId="1" priority="6" operator="containsText" text="PN">
      <formula>NOT(ISERROR(SEARCH("PN",BS183)))</formula>
    </cfRule>
  </conditionalFormatting>
  <conditionalFormatting sqref="BS192:BV192">
    <cfRule type="expression" dxfId="0" priority="7">
      <formula>#REF!&gt;#REF!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Dato' Mohamad Sahfri Ab Aziz</dc:creator>
  <cp:lastModifiedBy>Dato' Mohamad Sahfri Ab Aziz</cp:lastModifiedBy>
  <dcterms:created xsi:type="dcterms:W3CDTF">2026-06-20T01:45:22Z</dcterms:created>
  <dcterms:modified xsi:type="dcterms:W3CDTF">2026-06-20T09:31:37Z</dcterms:modified>
</cp:coreProperties>
</file>